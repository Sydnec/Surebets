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4c2325a69d818dd/Documents/1 - A GARDER/Programmes/VBA/"/>
    </mc:Choice>
  </mc:AlternateContent>
  <xr:revisionPtr revIDLastSave="4775" documentId="8_{C90F8566-5695-4CB4-8836-F3557C99B3EA}" xr6:coauthVersionLast="46" xr6:coauthVersionMax="46" xr10:uidLastSave="{58D87C08-03CE-42A8-8F1A-11186F8C8679}"/>
  <bookViews>
    <workbookView xWindow="-28920" yWindow="-120" windowWidth="29040" windowHeight="16440" activeTab="1" xr2:uid="{00000000-000D-0000-FFFF-FFFF00000000}"/>
  </bookViews>
  <sheets>
    <sheet name="Accueil" sheetId="16" r:id="rId1"/>
    <sheet name="Transaction" sheetId="17" r:id="rId2"/>
    <sheet name="Suivi" sheetId="14" r:id="rId3"/>
    <sheet name="Répartiteur" sheetId="1" r:id="rId4"/>
    <sheet name="Meilleur 1N2 à 2 Matchs" sheetId="3" r:id="rId5"/>
    <sheet name="Foot à 2 Matchs" sheetId="10" r:id="rId6"/>
    <sheet name="Meilleur 1N2 à 3 Matchs" sheetId="7" r:id="rId7"/>
    <sheet name="Foot à 3 matchs" sheetId="5" r:id="rId8"/>
    <sheet name="Basket à 2 Matchs" sheetId="11" r:id="rId9"/>
    <sheet name="Meilleur 1-2 à 3 matchs" sheetId="13" r:id="rId10"/>
    <sheet name="Basket à 3 Matchs" sheetId="12" r:id="rId1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4" l="1"/>
  <c r="P1" i="17"/>
  <c r="B4" i="1"/>
  <c r="C3" i="1"/>
  <c r="Q3" i="5"/>
  <c r="R3" i="5"/>
  <c r="S3" i="5"/>
  <c r="T3" i="5"/>
  <c r="U3" i="5"/>
  <c r="V3" i="5"/>
  <c r="Q4" i="5"/>
  <c r="R4" i="5"/>
  <c r="S4" i="5"/>
  <c r="T4" i="5"/>
  <c r="U4" i="5"/>
  <c r="V4" i="5"/>
  <c r="Q5" i="5"/>
  <c r="R5" i="5"/>
  <c r="S5" i="5"/>
  <c r="T5" i="5"/>
  <c r="U5" i="5"/>
  <c r="V5" i="5"/>
  <c r="Q6" i="5"/>
  <c r="R6" i="5"/>
  <c r="S6" i="5"/>
  <c r="T6" i="5"/>
  <c r="U6" i="5"/>
  <c r="V6" i="5"/>
  <c r="Q8" i="5"/>
  <c r="R8" i="5"/>
  <c r="S8" i="5"/>
  <c r="T8" i="5"/>
  <c r="U8" i="5"/>
  <c r="V8" i="5"/>
  <c r="Q9" i="5"/>
  <c r="R9" i="5"/>
  <c r="S9" i="5"/>
  <c r="T9" i="5"/>
  <c r="U9" i="5"/>
  <c r="V9" i="5"/>
  <c r="Q10" i="5"/>
  <c r="R10" i="5"/>
  <c r="S10" i="5"/>
  <c r="T10" i="5"/>
  <c r="U10" i="5"/>
  <c r="V10" i="5"/>
  <c r="Q11" i="5"/>
  <c r="R11" i="5"/>
  <c r="S11" i="5"/>
  <c r="T11" i="5"/>
  <c r="U11" i="5"/>
  <c r="V11" i="5"/>
  <c r="Q13" i="5"/>
  <c r="R13" i="5"/>
  <c r="S13" i="5"/>
  <c r="T13" i="5"/>
  <c r="U13" i="5"/>
  <c r="V13" i="5"/>
  <c r="Q14" i="5"/>
  <c r="R14" i="5"/>
  <c r="S14" i="5"/>
  <c r="T14" i="5"/>
  <c r="U14" i="5"/>
  <c r="V14" i="5"/>
  <c r="Q16" i="5"/>
  <c r="R16" i="5"/>
  <c r="S16" i="5"/>
  <c r="T16" i="5"/>
  <c r="U16" i="5"/>
  <c r="V16" i="5"/>
  <c r="Q17" i="5"/>
  <c r="R17" i="5"/>
  <c r="S17" i="5"/>
  <c r="T17" i="5"/>
  <c r="U17" i="5"/>
  <c r="V17" i="5"/>
  <c r="Q19" i="5"/>
  <c r="R19" i="5"/>
  <c r="S19" i="5"/>
  <c r="T19" i="5"/>
  <c r="U19" i="5"/>
  <c r="V19" i="5"/>
  <c r="Q20" i="5"/>
  <c r="R20" i="5"/>
  <c r="S20" i="5"/>
  <c r="T20" i="5"/>
  <c r="U20" i="5"/>
  <c r="V20" i="5"/>
  <c r="Q21" i="5"/>
  <c r="R21" i="5"/>
  <c r="S21" i="5"/>
  <c r="T21" i="5"/>
  <c r="U21" i="5"/>
  <c r="V21" i="5"/>
  <c r="Q22" i="5"/>
  <c r="R22" i="5"/>
  <c r="S22" i="5"/>
  <c r="T22" i="5"/>
  <c r="U22" i="5"/>
  <c r="V22" i="5"/>
  <c r="Q24" i="5"/>
  <c r="R24" i="5"/>
  <c r="S24" i="5"/>
  <c r="T24" i="5"/>
  <c r="U24" i="5"/>
  <c r="V24" i="5"/>
  <c r="Q25" i="5"/>
  <c r="R25" i="5"/>
  <c r="S25" i="5"/>
  <c r="T25" i="5"/>
  <c r="U25" i="5"/>
  <c r="V25" i="5"/>
  <c r="J2" i="14" l="1"/>
  <c r="B4" i="14"/>
  <c r="B7" i="14" s="1"/>
  <c r="I3" i="17" s="1"/>
  <c r="C4" i="14"/>
  <c r="C7" i="14" s="1"/>
  <c r="I4" i="17" s="1"/>
  <c r="G4" i="14"/>
  <c r="G7" i="14" s="1"/>
  <c r="I8" i="17" s="1"/>
  <c r="D4" i="14"/>
  <c r="D7" i="14" s="1"/>
  <c r="I5" i="17" s="1"/>
  <c r="E4" i="14"/>
  <c r="E7" i="14" s="1"/>
  <c r="F4" i="14"/>
  <c r="F7" i="14" s="1"/>
  <c r="I7" i="17" s="1"/>
  <c r="H4" i="14"/>
  <c r="H7" i="14" s="1"/>
  <c r="I9" i="17" s="1"/>
  <c r="I4" i="14"/>
  <c r="I7" i="14" s="1"/>
  <c r="I10" i="17" s="1"/>
  <c r="D2" i="17"/>
  <c r="C2" i="17"/>
  <c r="H4" i="17"/>
  <c r="H11" i="17"/>
  <c r="H10" i="17"/>
  <c r="H9" i="17"/>
  <c r="H8" i="17"/>
  <c r="H7" i="17"/>
  <c r="H6" i="17"/>
  <c r="H5" i="17"/>
  <c r="H3" i="17"/>
  <c r="G6" i="17"/>
  <c r="J6" i="14"/>
  <c r="J5" i="14"/>
  <c r="H12" i="17" s="1"/>
  <c r="J3" i="14"/>
  <c r="P16" i="12"/>
  <c r="P17" i="12"/>
  <c r="P18" i="12"/>
  <c r="P19" i="12"/>
  <c r="P20" i="12"/>
  <c r="P21" i="12"/>
  <c r="P22" i="12"/>
  <c r="P23" i="12"/>
  <c r="P24" i="12"/>
  <c r="Q2" i="5"/>
  <c r="R2" i="5"/>
  <c r="S2" i="5"/>
  <c r="T2" i="5"/>
  <c r="U2" i="5"/>
  <c r="V2" i="5"/>
  <c r="P2" i="5"/>
  <c r="I15" i="10"/>
  <c r="I16" i="10"/>
  <c r="I18" i="10"/>
  <c r="I19" i="10"/>
  <c r="B6" i="1"/>
  <c r="Z1" i="1"/>
  <c r="T16" i="12"/>
  <c r="T17" i="12"/>
  <c r="T18" i="12"/>
  <c r="T19" i="12"/>
  <c r="T20" i="12"/>
  <c r="T21" i="12"/>
  <c r="T22" i="12"/>
  <c r="T23" i="12"/>
  <c r="T24" i="12"/>
  <c r="I19" i="11"/>
  <c r="I20" i="11"/>
  <c r="H15" i="10"/>
  <c r="H16" i="10"/>
  <c r="H18" i="10"/>
  <c r="H19" i="10"/>
  <c r="J15" i="10"/>
  <c r="J16" i="10"/>
  <c r="J18" i="10"/>
  <c r="J19" i="10"/>
  <c r="L14" i="13"/>
  <c r="K14" i="13"/>
  <c r="L8" i="13"/>
  <c r="K8" i="13"/>
  <c r="L2" i="13"/>
  <c r="K2" i="13"/>
  <c r="F14" i="13"/>
  <c r="E14" i="13"/>
  <c r="F8" i="13"/>
  <c r="E8" i="13"/>
  <c r="F2" i="13"/>
  <c r="E2" i="13"/>
  <c r="H17" i="13"/>
  <c r="I14" i="13"/>
  <c r="H14" i="13"/>
  <c r="H11" i="13"/>
  <c r="I8" i="13"/>
  <c r="H8" i="13"/>
  <c r="H5" i="13"/>
  <c r="I2" i="13"/>
  <c r="H2" i="13"/>
  <c r="B17" i="13"/>
  <c r="C14" i="13"/>
  <c r="B14" i="13"/>
  <c r="B11" i="13"/>
  <c r="C8" i="13"/>
  <c r="B8" i="13"/>
  <c r="B5" i="13"/>
  <c r="C2" i="13"/>
  <c r="B2" i="13"/>
  <c r="V16" i="12"/>
  <c r="B3" i="13" s="1"/>
  <c r="V24" i="12"/>
  <c r="H10" i="13"/>
  <c r="V23" i="12"/>
  <c r="H16" i="13" s="1"/>
  <c r="V22" i="12"/>
  <c r="B10" i="13" s="1"/>
  <c r="V21" i="12"/>
  <c r="B16" i="13" s="1"/>
  <c r="V20" i="12"/>
  <c r="H4" i="13" s="1"/>
  <c r="V19" i="12"/>
  <c r="B4" i="13" s="1"/>
  <c r="V18" i="12"/>
  <c r="H9" i="13" s="1"/>
  <c r="V17" i="12"/>
  <c r="B9" i="13" s="1"/>
  <c r="Q16" i="12"/>
  <c r="R16" i="12"/>
  <c r="S16" i="12"/>
  <c r="U16" i="12"/>
  <c r="Q17" i="12"/>
  <c r="R17" i="12"/>
  <c r="S17" i="12"/>
  <c r="U17" i="12"/>
  <c r="Q18" i="12"/>
  <c r="R18" i="12"/>
  <c r="S18" i="12"/>
  <c r="U18" i="12"/>
  <c r="Q19" i="12"/>
  <c r="R19" i="12"/>
  <c r="S19" i="12"/>
  <c r="U19" i="12"/>
  <c r="Q20" i="12"/>
  <c r="R20" i="12"/>
  <c r="S20" i="12"/>
  <c r="U20" i="12"/>
  <c r="Q21" i="12"/>
  <c r="R21" i="12"/>
  <c r="S21" i="12"/>
  <c r="U21" i="12"/>
  <c r="Q22" i="12"/>
  <c r="R22" i="12"/>
  <c r="S22" i="12"/>
  <c r="U22" i="12"/>
  <c r="Q23" i="12"/>
  <c r="R23" i="12"/>
  <c r="S23" i="12"/>
  <c r="U23" i="12"/>
  <c r="Q24" i="12"/>
  <c r="R24" i="12"/>
  <c r="S24" i="12"/>
  <c r="U24" i="12"/>
  <c r="O24" i="12"/>
  <c r="O23" i="12"/>
  <c r="O22" i="12"/>
  <c r="O20" i="12"/>
  <c r="O21" i="12"/>
  <c r="W21" i="12" s="1"/>
  <c r="O19" i="12"/>
  <c r="W14" i="12"/>
  <c r="C11" i="13" s="1"/>
  <c r="W10" i="12"/>
  <c r="I17" i="13" s="1"/>
  <c r="Y10" i="12"/>
  <c r="W6" i="12"/>
  <c r="C5" i="13" s="1"/>
  <c r="O18" i="12"/>
  <c r="O17" i="12"/>
  <c r="O16" i="12"/>
  <c r="L14" i="11"/>
  <c r="F14" i="11"/>
  <c r="K14" i="11"/>
  <c r="I14" i="11"/>
  <c r="C14" i="11"/>
  <c r="H16" i="11"/>
  <c r="E14" i="11"/>
  <c r="B16" i="11"/>
  <c r="H14" i="11"/>
  <c r="H15" i="11"/>
  <c r="B15" i="11"/>
  <c r="B14" i="11"/>
  <c r="E19" i="11"/>
  <c r="F19" i="11"/>
  <c r="G19" i="11"/>
  <c r="J19" i="11"/>
  <c r="E20" i="11"/>
  <c r="F20" i="11"/>
  <c r="G20" i="11"/>
  <c r="J20" i="11"/>
  <c r="D20" i="11"/>
  <c r="D19" i="11"/>
  <c r="C20" i="11"/>
  <c r="C19" i="11"/>
  <c r="W11" i="11"/>
  <c r="Y11" i="11" s="1"/>
  <c r="X11" i="11" s="1"/>
  <c r="J16" i="11" s="1"/>
  <c r="W10" i="11"/>
  <c r="Y10" i="11"/>
  <c r="X10" i="11" s="1"/>
  <c r="W7" i="11"/>
  <c r="C16" i="11"/>
  <c r="W6" i="11"/>
  <c r="Y6" i="11"/>
  <c r="X6" i="11" s="1"/>
  <c r="I3" i="3"/>
  <c r="L3" i="3"/>
  <c r="F3" i="3"/>
  <c r="C3" i="3"/>
  <c r="E3" i="3"/>
  <c r="K3" i="3" s="1"/>
  <c r="G19" i="10"/>
  <c r="F19" i="10"/>
  <c r="E19" i="10"/>
  <c r="D19" i="10"/>
  <c r="C19" i="10"/>
  <c r="G18" i="10"/>
  <c r="F18" i="10"/>
  <c r="E18" i="10"/>
  <c r="D18" i="10"/>
  <c r="C18" i="10"/>
  <c r="G16" i="10"/>
  <c r="F16" i="10"/>
  <c r="E16" i="10"/>
  <c r="D16" i="10"/>
  <c r="C16" i="10"/>
  <c r="G15" i="10"/>
  <c r="F15" i="10"/>
  <c r="E15" i="10"/>
  <c r="D15" i="10"/>
  <c r="C15" i="10"/>
  <c r="U13" i="10"/>
  <c r="W13" i="10" s="1"/>
  <c r="V13" i="10" s="1"/>
  <c r="J7" i="3" s="1"/>
  <c r="U12" i="10"/>
  <c r="W12" i="10" s="1"/>
  <c r="V12" i="10" s="1"/>
  <c r="J6" i="3" s="1"/>
  <c r="U11" i="10"/>
  <c r="W11" i="10" s="1"/>
  <c r="V11" i="10" s="1"/>
  <c r="U8" i="10"/>
  <c r="C7" i="3" s="1"/>
  <c r="U7" i="10"/>
  <c r="C6" i="3" s="1"/>
  <c r="U6" i="10"/>
  <c r="W6" i="10" s="1"/>
  <c r="V6" i="10" s="1"/>
  <c r="H7" i="3"/>
  <c r="H6" i="3"/>
  <c r="H5" i="3"/>
  <c r="H4" i="3"/>
  <c r="I2" i="7"/>
  <c r="I11" i="7"/>
  <c r="I20" i="7"/>
  <c r="C20" i="7"/>
  <c r="C11" i="7"/>
  <c r="C2" i="7"/>
  <c r="B7" i="3"/>
  <c r="B6" i="3"/>
  <c r="B5" i="3"/>
  <c r="B4" i="3"/>
  <c r="B3" i="3"/>
  <c r="H3" i="3" s="1"/>
  <c r="P24" i="5"/>
  <c r="P25" i="5"/>
  <c r="H2" i="7"/>
  <c r="H11" i="7"/>
  <c r="H20" i="7"/>
  <c r="B20" i="7"/>
  <c r="B11" i="7"/>
  <c r="B2" i="7"/>
  <c r="B26" i="7"/>
  <c r="B25" i="7"/>
  <c r="H26" i="7"/>
  <c r="H25" i="7"/>
  <c r="H17" i="7"/>
  <c r="H16" i="7"/>
  <c r="H8" i="7"/>
  <c r="H7" i="7"/>
  <c r="B17" i="7"/>
  <c r="B16" i="7"/>
  <c r="B8" i="7"/>
  <c r="B7" i="7"/>
  <c r="L20" i="7"/>
  <c r="K20" i="7"/>
  <c r="F20" i="7"/>
  <c r="E20" i="7"/>
  <c r="L11" i="7"/>
  <c r="K11" i="7"/>
  <c r="F11" i="7"/>
  <c r="E11" i="7"/>
  <c r="L2" i="7"/>
  <c r="K2" i="7"/>
  <c r="F2" i="7"/>
  <c r="E2" i="7"/>
  <c r="P5" i="5"/>
  <c r="P21" i="5"/>
  <c r="P22" i="5"/>
  <c r="P20" i="5"/>
  <c r="P19" i="5"/>
  <c r="P17" i="5"/>
  <c r="P16" i="5"/>
  <c r="P14" i="5"/>
  <c r="P13" i="5"/>
  <c r="P11" i="5"/>
  <c r="P10" i="5"/>
  <c r="P9" i="5"/>
  <c r="P8" i="5"/>
  <c r="P6" i="5"/>
  <c r="P4" i="5"/>
  <c r="P3" i="5"/>
  <c r="O25" i="5"/>
  <c r="H6" i="7" s="1"/>
  <c r="O24" i="5"/>
  <c r="H5" i="7" s="1"/>
  <c r="O22" i="5"/>
  <c r="B15" i="7" s="1"/>
  <c r="O21" i="5"/>
  <c r="B14" i="7" s="1"/>
  <c r="O20" i="5"/>
  <c r="B13" i="7" s="1"/>
  <c r="O19" i="5"/>
  <c r="B12" i="7" s="1"/>
  <c r="O17" i="5"/>
  <c r="B6" i="7" s="1"/>
  <c r="O16" i="5"/>
  <c r="B5" i="7" s="1"/>
  <c r="O14" i="5"/>
  <c r="H15" i="7" s="1"/>
  <c r="O13" i="5"/>
  <c r="H14" i="7" s="1"/>
  <c r="O11" i="5"/>
  <c r="H24" i="7" s="1"/>
  <c r="O10" i="5"/>
  <c r="H23" i="7" s="1"/>
  <c r="O9" i="5"/>
  <c r="B4" i="7" s="1"/>
  <c r="O8" i="5"/>
  <c r="H21" i="7" s="1"/>
  <c r="O6" i="5"/>
  <c r="B24" i="7" s="1"/>
  <c r="O5" i="5"/>
  <c r="B23" i="7" s="1"/>
  <c r="O4" i="5"/>
  <c r="B22" i="7" s="1"/>
  <c r="O3" i="5"/>
  <c r="B21" i="7" s="1"/>
  <c r="L18" i="5"/>
  <c r="C8" i="7" s="1"/>
  <c r="L17" i="5"/>
  <c r="I7" i="7" s="1"/>
  <c r="L16" i="5"/>
  <c r="N16" i="5" s="1"/>
  <c r="M16" i="5" s="1"/>
  <c r="L13" i="5"/>
  <c r="C17" i="7" s="1"/>
  <c r="E17" i="7" s="1"/>
  <c r="L12" i="5"/>
  <c r="C16" i="7" s="1"/>
  <c r="E16" i="7" s="1"/>
  <c r="L11" i="5"/>
  <c r="N11" i="5" s="1"/>
  <c r="M11" i="5" s="1"/>
  <c r="L8" i="5"/>
  <c r="C26" i="7" s="1"/>
  <c r="L7" i="5"/>
  <c r="C25" i="7" s="1"/>
  <c r="L6" i="5"/>
  <c r="N6" i="5" s="1"/>
  <c r="M6" i="5" s="1"/>
  <c r="F1" i="1"/>
  <c r="D3" i="1"/>
  <c r="H1" i="1"/>
  <c r="P3" i="1"/>
  <c r="N3" i="1"/>
  <c r="M3" i="1"/>
  <c r="M1" i="1"/>
  <c r="I1" i="1"/>
  <c r="E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Z3" i="1"/>
  <c r="Y3" i="1"/>
  <c r="X3" i="1"/>
  <c r="W3" i="1"/>
  <c r="V3" i="1"/>
  <c r="U3" i="1"/>
  <c r="T3" i="1"/>
  <c r="S3" i="1"/>
  <c r="R3" i="1"/>
  <c r="Q3" i="1"/>
  <c r="O3" i="1"/>
  <c r="K3" i="1"/>
  <c r="Y1" i="1"/>
  <c r="X1" i="1"/>
  <c r="W1" i="1"/>
  <c r="V1" i="1"/>
  <c r="U1" i="1"/>
  <c r="T1" i="1"/>
  <c r="S1" i="1"/>
  <c r="R1" i="1"/>
  <c r="P1" i="1"/>
  <c r="O1" i="1"/>
  <c r="N1" i="1"/>
  <c r="L1" i="1"/>
  <c r="K1" i="1"/>
  <c r="J4" i="1"/>
  <c r="I4" i="1"/>
  <c r="H4" i="1"/>
  <c r="G4" i="1"/>
  <c r="F4" i="1"/>
  <c r="D4" i="1"/>
  <c r="C4" i="1"/>
  <c r="J3" i="1"/>
  <c r="I3" i="1"/>
  <c r="H3" i="1"/>
  <c r="G3" i="1"/>
  <c r="F3" i="1"/>
  <c r="J1" i="1"/>
  <c r="G1" i="1"/>
  <c r="D1" i="1"/>
  <c r="E3" i="1"/>
  <c r="E1" i="1"/>
  <c r="Q1" i="1"/>
  <c r="L3" i="1"/>
  <c r="C1" i="1"/>
  <c r="Y7" i="11"/>
  <c r="X7" i="11"/>
  <c r="D16" i="11" s="1"/>
  <c r="Y6" i="12"/>
  <c r="E16" i="11"/>
  <c r="E26" i="7" l="1"/>
  <c r="J4" i="14"/>
  <c r="C17" i="13"/>
  <c r="W22" i="12"/>
  <c r="Y22" i="12" s="1"/>
  <c r="X22" i="12" s="1"/>
  <c r="D10" i="13" s="1"/>
  <c r="W20" i="12"/>
  <c r="I4" i="13" s="1"/>
  <c r="K4" i="13" s="1"/>
  <c r="I16" i="11"/>
  <c r="K16" i="11" s="1"/>
  <c r="W19" i="11"/>
  <c r="C15" i="11" s="1"/>
  <c r="E15" i="11" s="1"/>
  <c r="W20" i="11"/>
  <c r="Y14" i="11" s="1"/>
  <c r="X20" i="11" s="1"/>
  <c r="J15" i="11" s="1"/>
  <c r="E17" i="11"/>
  <c r="F17" i="11" s="1"/>
  <c r="Y13" i="11"/>
  <c r="X19" i="11" s="1"/>
  <c r="D15" i="11" s="1"/>
  <c r="H4" i="7"/>
  <c r="H3" i="7"/>
  <c r="E25" i="7"/>
  <c r="I7" i="3"/>
  <c r="K7" i="3" s="1"/>
  <c r="W8" i="10"/>
  <c r="V8" i="10" s="1"/>
  <c r="D7" i="3" s="1"/>
  <c r="W24" i="12"/>
  <c r="Y24" i="12" s="1"/>
  <c r="X24" i="12" s="1"/>
  <c r="J10" i="13" s="1"/>
  <c r="W23" i="12"/>
  <c r="I16" i="13" s="1"/>
  <c r="K16" i="13" s="1"/>
  <c r="W17" i="12"/>
  <c r="C9" i="13" s="1"/>
  <c r="E9" i="13" s="1"/>
  <c r="C16" i="13"/>
  <c r="E16" i="13" s="1"/>
  <c r="Y21" i="12"/>
  <c r="X21" i="12" s="1"/>
  <c r="D16" i="13" s="1"/>
  <c r="W18" i="12"/>
  <c r="Y18" i="12" s="1"/>
  <c r="X18" i="12" s="1"/>
  <c r="J15" i="13" s="1"/>
  <c r="W16" i="12"/>
  <c r="C15" i="13" s="1"/>
  <c r="E15" i="13" s="1"/>
  <c r="W19" i="12"/>
  <c r="Y19" i="12" s="1"/>
  <c r="X19" i="12" s="1"/>
  <c r="D4" i="13" s="1"/>
  <c r="K17" i="13"/>
  <c r="E11" i="13"/>
  <c r="H15" i="13"/>
  <c r="H3" i="13"/>
  <c r="I11" i="13"/>
  <c r="K11" i="13" s="1"/>
  <c r="Y14" i="12"/>
  <c r="E17" i="13"/>
  <c r="I5" i="13"/>
  <c r="K5" i="13" s="1"/>
  <c r="C4" i="13"/>
  <c r="E4" i="13" s="1"/>
  <c r="B15" i="13"/>
  <c r="E5" i="13"/>
  <c r="U18" i="10"/>
  <c r="W18" i="10" s="1"/>
  <c r="V18" i="10" s="1"/>
  <c r="J4" i="3" s="1"/>
  <c r="E7" i="3"/>
  <c r="I6" i="3"/>
  <c r="K6" i="3" s="1"/>
  <c r="U15" i="10"/>
  <c r="C4" i="3" s="1"/>
  <c r="E4" i="3" s="1"/>
  <c r="U19" i="10"/>
  <c r="W19" i="10" s="1"/>
  <c r="V19" i="10" s="1"/>
  <c r="J5" i="3" s="1"/>
  <c r="W7" i="10"/>
  <c r="V7" i="10" s="1"/>
  <c r="D6" i="3" s="1"/>
  <c r="U16" i="10"/>
  <c r="E6" i="3"/>
  <c r="C6" i="1"/>
  <c r="A6" i="1"/>
  <c r="X22" i="5"/>
  <c r="C15" i="7" s="1"/>
  <c r="E15" i="7" s="1"/>
  <c r="X16" i="5"/>
  <c r="Z16" i="5" s="1"/>
  <c r="Y16" i="5" s="1"/>
  <c r="D5" i="7" s="1"/>
  <c r="B3" i="7"/>
  <c r="E8" i="7"/>
  <c r="K7" i="7"/>
  <c r="H13" i="7"/>
  <c r="H22" i="7"/>
  <c r="H12" i="7"/>
  <c r="X11" i="5"/>
  <c r="Z11" i="5" s="1"/>
  <c r="Y11" i="5" s="1"/>
  <c r="J24" i="7" s="1"/>
  <c r="X25" i="5"/>
  <c r="Z25" i="5" s="1"/>
  <c r="Y25" i="5" s="1"/>
  <c r="J6" i="7" s="1"/>
  <c r="N17" i="5"/>
  <c r="M17" i="5" s="1"/>
  <c r="J7" i="7" s="1"/>
  <c r="C7" i="7"/>
  <c r="E7" i="7" s="1"/>
  <c r="X24" i="5"/>
  <c r="I5" i="7" s="1"/>
  <c r="K5" i="7" s="1"/>
  <c r="X20" i="5"/>
  <c r="C13" i="7" s="1"/>
  <c r="E13" i="7" s="1"/>
  <c r="X21" i="5"/>
  <c r="C14" i="7" s="1"/>
  <c r="E14" i="7" s="1"/>
  <c r="X19" i="5"/>
  <c r="Z19" i="5" s="1"/>
  <c r="Y19" i="5" s="1"/>
  <c r="D12" i="7" s="1"/>
  <c r="X9" i="5"/>
  <c r="Z9" i="5" s="1"/>
  <c r="Y9" i="5" s="1"/>
  <c r="J22" i="7" s="1"/>
  <c r="X17" i="5"/>
  <c r="C6" i="7" s="1"/>
  <c r="E6" i="7" s="1"/>
  <c r="N12" i="5"/>
  <c r="M12" i="5" s="1"/>
  <c r="D16" i="7" s="1"/>
  <c r="X5" i="5"/>
  <c r="Z5" i="5" s="1"/>
  <c r="Y5" i="5" s="1"/>
  <c r="D23" i="7" s="1"/>
  <c r="I16" i="7"/>
  <c r="K16" i="7" s="1"/>
  <c r="I26" i="7"/>
  <c r="K26" i="7" s="1"/>
  <c r="N8" i="5"/>
  <c r="M8" i="5" s="1"/>
  <c r="D26" i="7" s="1"/>
  <c r="X14" i="5"/>
  <c r="I15" i="7" s="1"/>
  <c r="K15" i="7" s="1"/>
  <c r="X13" i="5"/>
  <c r="Z13" i="5" s="1"/>
  <c r="Y13" i="5" s="1"/>
  <c r="J14" i="7" s="1"/>
  <c r="X4" i="5"/>
  <c r="C22" i="7" s="1"/>
  <c r="E22" i="7" s="1"/>
  <c r="X10" i="5"/>
  <c r="Z10" i="5" s="1"/>
  <c r="Y10" i="5" s="1"/>
  <c r="J23" i="7" s="1"/>
  <c r="X6" i="5"/>
  <c r="C24" i="7" s="1"/>
  <c r="E24" i="7" s="1"/>
  <c r="X3" i="5"/>
  <c r="I12" i="7" s="1"/>
  <c r="K12" i="7" s="1"/>
  <c r="X8" i="5"/>
  <c r="I21" i="7" s="1"/>
  <c r="K21" i="7" s="1"/>
  <c r="N13" i="5"/>
  <c r="M13" i="5" s="1"/>
  <c r="J17" i="7" s="1"/>
  <c r="I17" i="7"/>
  <c r="K17" i="7" s="1"/>
  <c r="N7" i="5"/>
  <c r="M7" i="5" s="1"/>
  <c r="J25" i="7" s="1"/>
  <c r="I25" i="7"/>
  <c r="K25" i="7" s="1"/>
  <c r="N18" i="5"/>
  <c r="M18" i="5" s="1"/>
  <c r="J8" i="7" s="1"/>
  <c r="I8" i="7"/>
  <c r="K8" i="7" s="1"/>
  <c r="I6" i="17"/>
  <c r="C5" i="3" l="1"/>
  <c r="E5" i="3" s="1"/>
  <c r="E8" i="3" s="1"/>
  <c r="F8" i="3" s="1"/>
  <c r="J7" i="14"/>
  <c r="C5" i="7"/>
  <c r="E5" i="7" s="1"/>
  <c r="Z22" i="5"/>
  <c r="Y22" i="5" s="1"/>
  <c r="D15" i="7" s="1"/>
  <c r="Z17" i="5"/>
  <c r="Y17" i="5" s="1"/>
  <c r="D6" i="7" s="1"/>
  <c r="Z24" i="5"/>
  <c r="Y24" i="5" s="1"/>
  <c r="J5" i="7" s="1"/>
  <c r="I15" i="13"/>
  <c r="K15" i="13" s="1"/>
  <c r="Y23" i="12"/>
  <c r="X23" i="12" s="1"/>
  <c r="J16" i="13" s="1"/>
  <c r="C10" i="13"/>
  <c r="E10" i="13" s="1"/>
  <c r="I3" i="13"/>
  <c r="K3" i="13" s="1"/>
  <c r="K6" i="13" s="1"/>
  <c r="L6" i="13" s="1"/>
  <c r="I9" i="13"/>
  <c r="K9" i="13" s="1"/>
  <c r="K12" i="13" s="1"/>
  <c r="L12" i="13" s="1"/>
  <c r="Y20" i="12"/>
  <c r="X20" i="12" s="1"/>
  <c r="J4" i="13" s="1"/>
  <c r="E12" i="13"/>
  <c r="F12" i="13" s="1"/>
  <c r="Y17" i="12"/>
  <c r="X17" i="12" s="1"/>
  <c r="J3" i="13" s="1"/>
  <c r="I15" i="11"/>
  <c r="K15" i="11" s="1"/>
  <c r="K17" i="11" s="1"/>
  <c r="L17" i="11" s="1"/>
  <c r="I6" i="7"/>
  <c r="K6" i="7" s="1"/>
  <c r="I10" i="13"/>
  <c r="K10" i="13" s="1"/>
  <c r="Y16" i="12"/>
  <c r="X6" i="12" s="1"/>
  <c r="D5" i="13" s="1"/>
  <c r="K18" i="13"/>
  <c r="L18" i="13" s="1"/>
  <c r="C3" i="13"/>
  <c r="E3" i="13" s="1"/>
  <c r="E6" i="13" s="1"/>
  <c r="F6" i="13" s="1"/>
  <c r="E18" i="13"/>
  <c r="F18" i="13" s="1"/>
  <c r="J9" i="13"/>
  <c r="I4" i="3"/>
  <c r="K4" i="3" s="1"/>
  <c r="W16" i="10"/>
  <c r="V16" i="10" s="1"/>
  <c r="D5" i="3" s="1"/>
  <c r="W15" i="10"/>
  <c r="V15" i="10" s="1"/>
  <c r="D4" i="3" s="1"/>
  <c r="I5" i="3"/>
  <c r="K5" i="3" s="1"/>
  <c r="I24" i="7"/>
  <c r="K24" i="7" s="1"/>
  <c r="C3" i="7"/>
  <c r="E3" i="7" s="1"/>
  <c r="Z14" i="5"/>
  <c r="Y14" i="5" s="1"/>
  <c r="J15" i="7" s="1"/>
  <c r="D7" i="7"/>
  <c r="I14" i="7"/>
  <c r="K14" i="7" s="1"/>
  <c r="I3" i="7"/>
  <c r="K3" i="7" s="1"/>
  <c r="I4" i="7"/>
  <c r="K4" i="7" s="1"/>
  <c r="Z20" i="5"/>
  <c r="Y20" i="5" s="1"/>
  <c r="D13" i="7" s="1"/>
  <c r="I23" i="7"/>
  <c r="K23" i="7" s="1"/>
  <c r="Z21" i="5"/>
  <c r="Y21" i="5" s="1"/>
  <c r="D14" i="7" s="1"/>
  <c r="C12" i="7"/>
  <c r="E12" i="7" s="1"/>
  <c r="E18" i="7" s="1"/>
  <c r="F18" i="7" s="1"/>
  <c r="J3" i="7"/>
  <c r="C4" i="7"/>
  <c r="E4" i="7" s="1"/>
  <c r="I22" i="7"/>
  <c r="K22" i="7" s="1"/>
  <c r="J16" i="7"/>
  <c r="J26" i="7"/>
  <c r="Z8" i="5"/>
  <c r="Y8" i="5" s="1"/>
  <c r="D3" i="7" s="1"/>
  <c r="Z6" i="5"/>
  <c r="Y6" i="5" s="1"/>
  <c r="D24" i="7" s="1"/>
  <c r="C23" i="7"/>
  <c r="E23" i="7" s="1"/>
  <c r="I13" i="7"/>
  <c r="K13" i="7" s="1"/>
  <c r="Z4" i="5"/>
  <c r="Y4" i="5" s="1"/>
  <c r="D22" i="7" s="1"/>
  <c r="C21" i="7"/>
  <c r="E21" i="7" s="1"/>
  <c r="Z3" i="5"/>
  <c r="Y3" i="5" s="1"/>
  <c r="D21" i="7" s="1"/>
  <c r="D25" i="7"/>
  <c r="D17" i="7"/>
  <c r="D4" i="7"/>
  <c r="D8" i="7"/>
  <c r="J8" i="14" l="1"/>
  <c r="I11" i="17" s="1"/>
  <c r="I12" i="17"/>
  <c r="X14" i="12"/>
  <c r="J11" i="13" s="1"/>
  <c r="X16" i="12"/>
  <c r="D15" i="13" s="1"/>
  <c r="D9" i="13"/>
  <c r="K18" i="7"/>
  <c r="L18" i="7" s="1"/>
  <c r="J5" i="13"/>
  <c r="X10" i="12"/>
  <c r="J17" i="13" s="1"/>
  <c r="K8" i="3"/>
  <c r="L8" i="3" s="1"/>
  <c r="E9" i="7"/>
  <c r="F9" i="7" s="1"/>
  <c r="K9" i="7"/>
  <c r="L9" i="7" s="1"/>
  <c r="K27" i="7"/>
  <c r="L27" i="7" s="1"/>
  <c r="J4" i="7"/>
  <c r="J21" i="7"/>
  <c r="E27" i="7"/>
  <c r="F27" i="7" s="1"/>
  <c r="J13" i="7"/>
  <c r="J12" i="7"/>
  <c r="D11" i="13" l="1"/>
  <c r="D3" i="13"/>
  <c r="D17" i="13"/>
</calcChain>
</file>

<file path=xl/sharedStrings.xml><?xml version="1.0" encoding="utf-8"?>
<sst xmlns="http://schemas.openxmlformats.org/spreadsheetml/2006/main" count="180" uniqueCount="52">
  <si>
    <t>Côte Boostée</t>
  </si>
  <si>
    <t>Côte 2</t>
  </si>
  <si>
    <t>Mise 1</t>
  </si>
  <si>
    <t>Mise 2</t>
  </si>
  <si>
    <t>Gains</t>
  </si>
  <si>
    <t>Côte équivalente</t>
  </si>
  <si>
    <t>Mise Totale</t>
  </si>
  <si>
    <t>Unibet</t>
  </si>
  <si>
    <t>Betclic</t>
  </si>
  <si>
    <t>Winamax</t>
  </si>
  <si>
    <t>PMU</t>
  </si>
  <si>
    <t>Total</t>
  </si>
  <si>
    <t>ParionsSport</t>
  </si>
  <si>
    <t>NetBet</t>
  </si>
  <si>
    <t>PokerStars</t>
  </si>
  <si>
    <t>CB</t>
  </si>
  <si>
    <t>Match 1</t>
  </si>
  <si>
    <t>Match 2</t>
  </si>
  <si>
    <t>Possibilité 1</t>
  </si>
  <si>
    <t>Possibilité 2</t>
  </si>
  <si>
    <t>Possibilité 3</t>
  </si>
  <si>
    <t>Cote</t>
  </si>
  <si>
    <t>Intitulé</t>
  </si>
  <si>
    <t>Mise</t>
  </si>
  <si>
    <t>Meilleur Book</t>
  </si>
  <si>
    <t>Cote Max</t>
  </si>
  <si>
    <t>Match 3</t>
  </si>
  <si>
    <t>Combinaisons</t>
  </si>
  <si>
    <t>N1</t>
  </si>
  <si>
    <t>N2</t>
  </si>
  <si>
    <t>Cote Boost</t>
  </si>
  <si>
    <t>Mise max</t>
  </si>
  <si>
    <t xml:space="preserve"> </t>
  </si>
  <si>
    <t>Cotes</t>
  </si>
  <si>
    <t>Dépôt</t>
  </si>
  <si>
    <t>Sous-Total</t>
  </si>
  <si>
    <t>En cours</t>
  </si>
  <si>
    <t>Freebets</t>
  </si>
  <si>
    <t>Surebet depuis 23/02</t>
  </si>
  <si>
    <t>N3</t>
  </si>
  <si>
    <t>FranceParis</t>
  </si>
  <si>
    <t>Retrait</t>
  </si>
  <si>
    <t>Surebet</t>
  </si>
  <si>
    <t>Gain</t>
  </si>
  <si>
    <t>B</t>
  </si>
  <si>
    <t>U</t>
  </si>
  <si>
    <t>W</t>
  </si>
  <si>
    <t>NB</t>
  </si>
  <si>
    <t>FP</t>
  </si>
  <si>
    <t>PSEL</t>
  </si>
  <si>
    <t>PS</t>
  </si>
  <si>
    <t>Depuis le 16/10/20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</si>
</sst>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€&quot;;[Red]\-#,##0.00\ &quot;€&quot;"/>
    <numFmt numFmtId="164" formatCode="#,##0.00\ &quot;€&quot;"/>
    <numFmt numFmtId="165" formatCode="0.000"/>
    <numFmt numFmtId="166" formatCode="#,##0.00\ _€"/>
  </numFmts>
  <fonts count="18" x14ac:knownFonts="1">
    <font>
      <sz val="10"/>
      <color rgb="FF000000"/>
      <name val="Arial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8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000000"/>
      </patternFill>
    </fill>
  </fills>
  <borders count="7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 applyFont="1" applyAlignment="1"/>
    <xf numFmtId="164" fontId="6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0" fillId="2" borderId="0" xfId="0" applyFont="1" applyFill="1" applyBorder="1" applyAlignment="1"/>
    <xf numFmtId="2" fontId="0" fillId="2" borderId="0" xfId="0" applyNumberFormat="1" applyFont="1" applyFill="1" applyBorder="1" applyAlignment="1"/>
    <xf numFmtId="4" fontId="5" fillId="2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64" fontId="5" fillId="2" borderId="0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5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0" fontId="9" fillId="3" borderId="0" xfId="0" applyNumberFormat="1" applyFont="1" applyFill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165" fontId="0" fillId="3" borderId="2" xfId="0" quotePrefix="1" applyNumberForma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" xfId="0" quotePrefix="1" applyNumberFormat="1" applyFill="1" applyBorder="1" applyAlignment="1">
      <alignment horizontal="center" vertical="center"/>
    </xf>
    <xf numFmtId="164" fontId="0" fillId="3" borderId="2" xfId="0" applyNumberFormat="1" applyFont="1" applyFill="1" applyBorder="1" applyAlignment="1">
      <alignment horizontal="center" vertical="center"/>
    </xf>
    <xf numFmtId="164" fontId="0" fillId="3" borderId="0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center" vertical="center"/>
    </xf>
    <xf numFmtId="0" fontId="0" fillId="3" borderId="2" xfId="0" quotePrefix="1" applyNumberFormat="1" applyFill="1" applyBorder="1" applyAlignment="1">
      <alignment horizontal="center" vertical="center"/>
    </xf>
    <xf numFmtId="164" fontId="0" fillId="3" borderId="3" xfId="0" applyNumberFormat="1" applyFont="1" applyFill="1" applyBorder="1" applyAlignment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0" fontId="0" fillId="3" borderId="0" xfId="0" applyFont="1" applyFill="1" applyAlignment="1"/>
    <xf numFmtId="0" fontId="10" fillId="3" borderId="0" xfId="0" applyFont="1" applyFill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3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164" fontId="10" fillId="3" borderId="0" xfId="0" applyNumberFormat="1" applyFont="1" applyFill="1" applyAlignment="1">
      <alignment horizontal="center" vertical="center"/>
    </xf>
    <xf numFmtId="2" fontId="10" fillId="3" borderId="2" xfId="0" applyNumberFormat="1" applyFont="1" applyFill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3" xfId="0" applyNumberFormat="1" applyFont="1" applyFill="1" applyBorder="1" applyAlignment="1">
      <alignment horizontal="center" vertical="center"/>
    </xf>
    <xf numFmtId="0" fontId="9" fillId="3" borderId="0" xfId="0" applyFont="1" applyFill="1" applyAlignment="1"/>
    <xf numFmtId="0" fontId="0" fillId="3" borderId="2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Alignment="1"/>
    <xf numFmtId="164" fontId="0" fillId="3" borderId="2" xfId="0" applyNumberFormat="1" applyFont="1" applyFill="1" applyBorder="1" applyAlignment="1"/>
    <xf numFmtId="164" fontId="0" fillId="3" borderId="0" xfId="0" applyNumberFormat="1" applyFont="1" applyFill="1" applyAlignment="1"/>
    <xf numFmtId="0" fontId="11" fillId="2" borderId="5" xfId="0" applyFont="1" applyFill="1" applyBorder="1" applyAlignment="1">
      <alignment horizontal="center" vertical="center" wrapText="1"/>
    </xf>
    <xf numFmtId="8" fontId="12" fillId="2" borderId="5" xfId="0" applyNumberFormat="1" applyFont="1" applyFill="1" applyBorder="1" applyAlignment="1">
      <alignment horizontal="center" vertical="center" wrapText="1"/>
    </xf>
    <xf numFmtId="8" fontId="13" fillId="2" borderId="5" xfId="0" applyNumberFormat="1" applyFont="1" applyFill="1" applyBorder="1" applyAlignment="1">
      <alignment horizontal="center" vertical="center" wrapText="1"/>
    </xf>
    <xf numFmtId="0" fontId="0" fillId="2" borderId="0" xfId="0" applyFont="1" applyFill="1" applyAlignment="1"/>
    <xf numFmtId="0" fontId="0" fillId="3" borderId="0" xfId="0" applyNumberFormat="1" applyFont="1" applyFill="1" applyAlignment="1">
      <alignment horizontal="center" vertical="center"/>
    </xf>
    <xf numFmtId="0" fontId="0" fillId="3" borderId="2" xfId="0" applyNumberFormat="1" applyFont="1" applyFill="1" applyBorder="1" applyAlignment="1">
      <alignment horizontal="center" vertical="center"/>
    </xf>
    <xf numFmtId="0" fontId="0" fillId="3" borderId="0" xfId="0" applyNumberFormat="1" applyFont="1" applyFill="1" applyAlignment="1"/>
    <xf numFmtId="2" fontId="10" fillId="3" borderId="0" xfId="0" applyNumberFormat="1" applyFont="1" applyFill="1" applyAlignment="1">
      <alignment vertical="center"/>
    </xf>
    <xf numFmtId="2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165" fontId="15" fillId="3" borderId="0" xfId="0" applyNumberFormat="1" applyFont="1" applyFill="1" applyAlignment="1">
      <alignment horizontal="center" vertical="center"/>
    </xf>
    <xf numFmtId="0" fontId="15" fillId="3" borderId="0" xfId="0" applyFont="1" applyFill="1" applyAlignment="1">
      <alignment vertical="center"/>
    </xf>
    <xf numFmtId="166" fontId="15" fillId="3" borderId="2" xfId="0" applyNumberFormat="1" applyFont="1" applyFill="1" applyBorder="1" applyAlignment="1">
      <alignment horizontal="center" vertical="center"/>
    </xf>
    <xf numFmtId="164" fontId="15" fillId="3" borderId="2" xfId="0" applyNumberFormat="1" applyFont="1" applyFill="1" applyBorder="1" applyAlignment="1">
      <alignment horizontal="center" vertical="center"/>
    </xf>
    <xf numFmtId="2" fontId="15" fillId="3" borderId="2" xfId="0" applyNumberFormat="1" applyFont="1" applyFill="1" applyBorder="1" applyAlignment="1">
      <alignment horizontal="center" vertical="center"/>
    </xf>
    <xf numFmtId="166" fontId="15" fillId="3" borderId="3" xfId="0" applyNumberFormat="1" applyFont="1" applyFill="1" applyBorder="1" applyAlignment="1">
      <alignment horizontal="center" vertical="center"/>
    </xf>
    <xf numFmtId="164" fontId="15" fillId="3" borderId="0" xfId="0" applyNumberFormat="1" applyFont="1" applyFill="1" applyAlignment="1">
      <alignment horizontal="center" vertical="center"/>
    </xf>
    <xf numFmtId="164" fontId="15" fillId="3" borderId="0" xfId="0" applyNumberFormat="1" applyFont="1" applyFill="1" applyBorder="1" applyAlignment="1">
      <alignment horizontal="center" vertical="center"/>
    </xf>
    <xf numFmtId="0" fontId="9" fillId="2" borderId="0" xfId="0" applyFont="1" applyFill="1" applyAlignment="1"/>
    <xf numFmtId="164" fontId="0" fillId="2" borderId="0" xfId="0" applyNumberFormat="1" applyFont="1" applyFill="1" applyBorder="1" applyAlignment="1"/>
    <xf numFmtId="0" fontId="10" fillId="3" borderId="0" xfId="0" applyFont="1" applyFill="1" applyAlignment="1"/>
    <xf numFmtId="8" fontId="0" fillId="2" borderId="0" xfId="0" applyNumberFormat="1" applyFont="1" applyFill="1" applyAlignment="1"/>
    <xf numFmtId="0" fontId="4" fillId="3" borderId="0" xfId="0" applyFont="1" applyFill="1" applyAlignment="1">
      <alignment horizontal="center" vertical="center"/>
    </xf>
    <xf numFmtId="0" fontId="9" fillId="2" borderId="0" xfId="0" applyFont="1" applyFill="1" applyAlignment="1"/>
    <xf numFmtId="0" fontId="16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3" fillId="2" borderId="5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right" vertical="center"/>
    </xf>
    <xf numFmtId="8" fontId="16" fillId="2" borderId="6" xfId="0" applyNumberFormat="1" applyFont="1" applyFill="1" applyBorder="1" applyAlignment="1">
      <alignment horizontal="center" vertical="center"/>
    </xf>
    <xf numFmtId="8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8" fontId="16" fillId="2" borderId="0" xfId="0" applyNumberFormat="1" applyFont="1" applyFill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164" fontId="4" fillId="3" borderId="2" xfId="0" applyNumberFormat="1" applyFont="1" applyFill="1" applyBorder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8" fontId="14" fillId="2" borderId="5" xfId="0" applyNumberFormat="1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37"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color theme="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8</xdr:row>
      <xdr:rowOff>133350</xdr:rowOff>
    </xdr:from>
    <xdr:to>
      <xdr:col>9</xdr:col>
      <xdr:colOff>160372</xdr:colOff>
      <xdr:row>16</xdr:row>
      <xdr:rowOff>31172</xdr:rowOff>
    </xdr:to>
    <xdr:sp macro="[0]!Foot2Match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2F4168C1-2EBB-4B4B-8556-CFF4EB6E5043}"/>
            </a:ext>
          </a:extLst>
        </xdr:cNvPr>
        <xdr:cNvSpPr/>
      </xdr:nvSpPr>
      <xdr:spPr>
        <a:xfrm>
          <a:off x="533400" y="295275"/>
          <a:ext cx="5722972" cy="1193222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/>
            <a:t>Foot 2 matchs</a:t>
          </a:r>
        </a:p>
      </xdr:txBody>
    </xdr:sp>
    <xdr:clientData/>
  </xdr:twoCellAnchor>
  <xdr:twoCellAnchor>
    <xdr:from>
      <xdr:col>11</xdr:col>
      <xdr:colOff>323850</xdr:colOff>
      <xdr:row>8</xdr:row>
      <xdr:rowOff>133350</xdr:rowOff>
    </xdr:from>
    <xdr:to>
      <xdr:col>18</xdr:col>
      <xdr:colOff>712822</xdr:colOff>
      <xdr:row>16</xdr:row>
      <xdr:rowOff>31172</xdr:rowOff>
    </xdr:to>
    <xdr:sp macro="[0]!Foot3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E2927F9B-01FB-4609-A533-27AE392A7822}"/>
            </a:ext>
          </a:extLst>
        </xdr:cNvPr>
        <xdr:cNvSpPr/>
      </xdr:nvSpPr>
      <xdr:spPr>
        <a:xfrm>
          <a:off x="7181850" y="295275"/>
          <a:ext cx="5722972" cy="1193222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/>
            <a:t>Foot 3 matchs </a:t>
          </a:r>
        </a:p>
      </xdr:txBody>
    </xdr:sp>
    <xdr:clientData/>
  </xdr:twoCellAnchor>
  <xdr:twoCellAnchor>
    <xdr:from>
      <xdr:col>1</xdr:col>
      <xdr:colOff>533400</xdr:colOff>
      <xdr:row>18</xdr:row>
      <xdr:rowOff>87457</xdr:rowOff>
    </xdr:from>
    <xdr:to>
      <xdr:col>9</xdr:col>
      <xdr:colOff>160372</xdr:colOff>
      <xdr:row>25</xdr:row>
      <xdr:rowOff>135947</xdr:rowOff>
    </xdr:to>
    <xdr:sp macro="[0]!Basket2Match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A171245A-4C1E-4971-B64B-B5F3A8577C6D}"/>
            </a:ext>
          </a:extLst>
        </xdr:cNvPr>
        <xdr:cNvSpPr/>
      </xdr:nvSpPr>
      <xdr:spPr>
        <a:xfrm>
          <a:off x="533400" y="2354407"/>
          <a:ext cx="5722972" cy="1181965"/>
        </a:xfrm>
        <a:prstGeom prst="roundRect">
          <a:avLst>
            <a:gd name="adj" fmla="val 50000"/>
          </a:avLst>
        </a:prstGeom>
        <a:solidFill>
          <a:srgbClr val="FFC000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/>
            <a:t>Basket 2 matchs</a:t>
          </a:r>
        </a:p>
      </xdr:txBody>
    </xdr:sp>
    <xdr:clientData/>
  </xdr:twoCellAnchor>
  <xdr:twoCellAnchor>
    <xdr:from>
      <xdr:col>11</xdr:col>
      <xdr:colOff>323850</xdr:colOff>
      <xdr:row>18</xdr:row>
      <xdr:rowOff>87457</xdr:rowOff>
    </xdr:from>
    <xdr:to>
      <xdr:col>18</xdr:col>
      <xdr:colOff>712822</xdr:colOff>
      <xdr:row>25</xdr:row>
      <xdr:rowOff>135947</xdr:rowOff>
    </xdr:to>
    <xdr:sp macro="[0]!Basket3Match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BA3A0761-10D7-4284-88D8-27A188C498E2}"/>
            </a:ext>
          </a:extLst>
        </xdr:cNvPr>
        <xdr:cNvSpPr/>
      </xdr:nvSpPr>
      <xdr:spPr>
        <a:xfrm>
          <a:off x="7181850" y="2354407"/>
          <a:ext cx="5722972" cy="1181965"/>
        </a:xfrm>
        <a:prstGeom prst="roundRect">
          <a:avLst>
            <a:gd name="adj" fmla="val 50000"/>
          </a:avLst>
        </a:prstGeom>
        <a:solidFill>
          <a:srgbClr val="FFC000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/>
            <a:t>Basket 3 matchs</a:t>
          </a:r>
        </a:p>
      </xdr:txBody>
    </xdr:sp>
    <xdr:clientData/>
  </xdr:twoCellAnchor>
  <xdr:twoCellAnchor>
    <xdr:from>
      <xdr:col>1</xdr:col>
      <xdr:colOff>538596</xdr:colOff>
      <xdr:row>28</xdr:row>
      <xdr:rowOff>31173</xdr:rowOff>
    </xdr:from>
    <xdr:to>
      <xdr:col>9</xdr:col>
      <xdr:colOff>165568</xdr:colOff>
      <xdr:row>35</xdr:row>
      <xdr:rowOff>88322</xdr:rowOff>
    </xdr:to>
    <xdr:sp macro="[0]!Suivi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FA545A3-74EC-467B-BE30-034EDEC3868D}"/>
            </a:ext>
          </a:extLst>
        </xdr:cNvPr>
        <xdr:cNvSpPr/>
      </xdr:nvSpPr>
      <xdr:spPr>
        <a:xfrm>
          <a:off x="538596" y="4403148"/>
          <a:ext cx="5722972" cy="1190624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/>
            <a:t>Suivi</a:t>
          </a:r>
        </a:p>
      </xdr:txBody>
    </xdr:sp>
    <xdr:clientData/>
  </xdr:twoCellAnchor>
  <xdr:twoCellAnchor>
    <xdr:from>
      <xdr:col>11</xdr:col>
      <xdr:colOff>329046</xdr:colOff>
      <xdr:row>28</xdr:row>
      <xdr:rowOff>31173</xdr:rowOff>
    </xdr:from>
    <xdr:to>
      <xdr:col>18</xdr:col>
      <xdr:colOff>718018</xdr:colOff>
      <xdr:row>35</xdr:row>
      <xdr:rowOff>88322</xdr:rowOff>
    </xdr:to>
    <xdr:sp macro="[0]!Répartiteur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DF5CAEAD-2577-40E0-AB5F-A976A32CE3C2}"/>
            </a:ext>
          </a:extLst>
        </xdr:cNvPr>
        <xdr:cNvSpPr/>
      </xdr:nvSpPr>
      <xdr:spPr>
        <a:xfrm>
          <a:off x="7187046" y="4403148"/>
          <a:ext cx="5722972" cy="1190624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/>
            <a:t>Répartiteur</a:t>
          </a:r>
        </a:p>
      </xdr:txBody>
    </xdr:sp>
    <xdr:clientData/>
  </xdr:twoCellAnchor>
  <xdr:twoCellAnchor editAs="oneCell">
    <xdr:from>
      <xdr:col>7</xdr:col>
      <xdr:colOff>714374</xdr:colOff>
      <xdr:row>1</xdr:row>
      <xdr:rowOff>171450</xdr:rowOff>
    </xdr:from>
    <xdr:to>
      <xdr:col>13</xdr:col>
      <xdr:colOff>266699</xdr:colOff>
      <xdr:row>7</xdr:row>
      <xdr:rowOff>1905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70FB810-0CD0-43DD-BC6A-D4F01EC7F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4" y="361950"/>
          <a:ext cx="4867275" cy="9734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386014</xdr:colOff>
      <xdr:row>3</xdr:row>
      <xdr:rowOff>220578</xdr:rowOff>
    </xdr:from>
    <xdr:to>
      <xdr:col>3</xdr:col>
      <xdr:colOff>719439</xdr:colOff>
      <xdr:row>5</xdr:row>
      <xdr:rowOff>50130</xdr:rowOff>
    </xdr:to>
    <xdr:sp macro="[0]!Suivi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3E7A983-557A-4456-A092-D5E5EE8AD52F}"/>
            </a:ext>
          </a:extLst>
        </xdr:cNvPr>
        <xdr:cNvSpPr/>
      </xdr:nvSpPr>
      <xdr:spPr>
        <a:xfrm>
          <a:off x="967540" y="987591"/>
          <a:ext cx="2639478" cy="340894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Visualiser</a:t>
          </a:r>
        </a:p>
      </xdr:txBody>
    </xdr:sp>
    <xdr:clientData/>
  </xdr:twoCellAnchor>
  <xdr:twoCellAnchor>
    <xdr:from>
      <xdr:col>1</xdr:col>
      <xdr:colOff>386014</xdr:colOff>
      <xdr:row>5</xdr:row>
      <xdr:rowOff>140369</xdr:rowOff>
    </xdr:from>
    <xdr:to>
      <xdr:col>3</xdr:col>
      <xdr:colOff>721895</xdr:colOff>
      <xdr:row>6</xdr:row>
      <xdr:rowOff>226287</xdr:rowOff>
    </xdr:to>
    <xdr:sp macro="[0]!Accueil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587A7A3D-3B17-47B7-A6E2-A7E0B517F8BA}"/>
            </a:ext>
          </a:extLst>
        </xdr:cNvPr>
        <xdr:cNvSpPr/>
      </xdr:nvSpPr>
      <xdr:spPr>
        <a:xfrm>
          <a:off x="967540" y="1418724"/>
          <a:ext cx="2641934" cy="341589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Retour à l'acceuil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504237</xdr:colOff>
      <xdr:row>8</xdr:row>
      <xdr:rowOff>37686</xdr:rowOff>
    </xdr:from>
    <xdr:to>
      <xdr:col>8</xdr:col>
      <xdr:colOff>369404</xdr:colOff>
      <xdr:row>9</xdr:row>
      <xdr:rowOff>264926</xdr:rowOff>
    </xdr:to>
    <xdr:sp macro="[0]!Transac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76DD793-171A-4C82-ACF8-F8C866AE436D}"/>
            </a:ext>
          </a:extLst>
        </xdr:cNvPr>
        <xdr:cNvSpPr/>
      </xdr:nvSpPr>
      <xdr:spPr>
        <a:xfrm>
          <a:off x="8173933" y="5603599"/>
          <a:ext cx="4387471" cy="922979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1"/>
            <a:t>Transactions</a:t>
          </a:r>
        </a:p>
      </xdr:txBody>
    </xdr:sp>
    <xdr:clientData/>
  </xdr:twoCellAnchor>
  <xdr:twoCellAnchor editAs="oneCell">
    <xdr:from>
      <xdr:col>0</xdr:col>
      <xdr:colOff>0</xdr:colOff>
      <xdr:row>8</xdr:row>
      <xdr:rowOff>180561</xdr:rowOff>
    </xdr:from>
    <xdr:to>
      <xdr:col>2</xdr:col>
      <xdr:colOff>629478</xdr:colOff>
      <xdr:row>9</xdr:row>
      <xdr:rowOff>240030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C073CD90-FFEE-4625-BDCF-D939A36AF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46474"/>
          <a:ext cx="3776869" cy="755208"/>
        </a:xfrm>
        <a:prstGeom prst="rect">
          <a:avLst/>
        </a:prstGeom>
      </xdr:spPr>
    </xdr:pic>
    <xdr:clientData/>
  </xdr:twoCellAnchor>
  <xdr:twoCellAnchor>
    <xdr:from>
      <xdr:col>2</xdr:col>
      <xdr:colOff>328820</xdr:colOff>
      <xdr:row>8</xdr:row>
      <xdr:rowOff>37686</xdr:rowOff>
    </xdr:from>
    <xdr:to>
      <xdr:col>5</xdr:col>
      <xdr:colOff>367921</xdr:colOff>
      <xdr:row>9</xdr:row>
      <xdr:rowOff>264926</xdr:rowOff>
    </xdr:to>
    <xdr:sp macro="[0]!AccueilFromSuivi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9316DD9-79C4-4C95-9970-28B806706EA7}"/>
            </a:ext>
          </a:extLst>
        </xdr:cNvPr>
        <xdr:cNvSpPr/>
      </xdr:nvSpPr>
      <xdr:spPr>
        <a:xfrm>
          <a:off x="3476211" y="5603599"/>
          <a:ext cx="4561406" cy="922979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1"/>
            <a:t>Retour à l'acceuil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380999</xdr:colOff>
      <xdr:row>6</xdr:row>
      <xdr:rowOff>76200</xdr:rowOff>
    </xdr:from>
    <xdr:ext cx="2533651" cy="657225"/>
    <xdr:sp macro="[0]!Effacer_Repartiteur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9" y="1676400"/>
          <a:ext cx="2533651" cy="657225"/>
        </a:xfrm>
        <a:prstGeom prst="roundRect">
          <a:avLst>
            <a:gd name="adj" fmla="val 16667"/>
          </a:avLst>
        </a:prstGeom>
        <a:solidFill>
          <a:srgbClr val="CC0000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 b="1">
              <a:solidFill>
                <a:srgbClr val="FFFFFF"/>
              </a:solidFill>
            </a:rPr>
            <a:t>Réinitialiser</a:t>
          </a:r>
          <a:endParaRPr sz="2800" b="1">
            <a:solidFill>
              <a:srgbClr val="FFFFFF"/>
            </a:solidFill>
          </a:endParaRPr>
        </a:p>
      </xdr:txBody>
    </xdr:sp>
    <xdr:clientData fLocksWithSheet="0"/>
  </xdr:oneCellAnchor>
  <xdr:oneCellAnchor>
    <xdr:from>
      <xdr:col>3</xdr:col>
      <xdr:colOff>66675</xdr:colOff>
      <xdr:row>6</xdr:row>
      <xdr:rowOff>76200</xdr:rowOff>
    </xdr:from>
    <xdr:ext cx="2533651" cy="657225"/>
    <xdr:sp macro="[0]!Accueil" textlink="">
      <xdr:nvSpPr>
        <xdr:cNvPr id="4" name="Shape 3">
          <a:extLst>
            <a:ext uri="{FF2B5EF4-FFF2-40B4-BE49-F238E27FC236}">
              <a16:creationId xmlns:a16="http://schemas.microsoft.com/office/drawing/2014/main" id="{324B9322-7518-418B-989F-F4A2563DE2AA}"/>
            </a:ext>
          </a:extLst>
        </xdr:cNvPr>
        <xdr:cNvSpPr/>
      </xdr:nvSpPr>
      <xdr:spPr>
        <a:xfrm>
          <a:off x="3409950" y="1676400"/>
          <a:ext cx="2533651" cy="657225"/>
        </a:xfrm>
        <a:prstGeom prst="roundRect">
          <a:avLst>
            <a:gd name="adj" fmla="val 16667"/>
          </a:avLst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 b="1">
              <a:solidFill>
                <a:srgbClr val="FFFFFF"/>
              </a:solidFill>
            </a:rPr>
            <a:t>Accueil</a:t>
          </a:r>
          <a:endParaRPr sz="2800" b="1">
            <a:solidFill>
              <a:srgbClr val="FFFFFF"/>
            </a:solidFill>
          </a:endParaRPr>
        </a:p>
      </xdr:txBody>
    </xdr:sp>
    <xdr:clientData fLocksWithSheet="0"/>
  </xdr:oneCellAnchor>
  <xdr:twoCellAnchor editAs="oneCell">
    <xdr:from>
      <xdr:col>0</xdr:col>
      <xdr:colOff>647700</xdr:colOff>
      <xdr:row>8</xdr:row>
      <xdr:rowOff>285750</xdr:rowOff>
    </xdr:from>
    <xdr:to>
      <xdr:col>5</xdr:col>
      <xdr:colOff>676275</xdr:colOff>
      <xdr:row>12</xdr:row>
      <xdr:rowOff>110490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1C72148-3936-4343-810E-01EF8E9EC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2876550"/>
          <a:ext cx="5600700" cy="1120140"/>
        </a:xfrm>
        <a:prstGeom prst="rect">
          <a:avLst/>
        </a:prstGeom>
      </xdr:spPr>
    </xdr:pic>
    <xdr:clientData/>
  </xdr:twoCellAnchor>
  <xdr:oneCellAnchor>
    <xdr:from>
      <xdr:col>5</xdr:col>
      <xdr:colOff>981075</xdr:colOff>
      <xdr:row>6</xdr:row>
      <xdr:rowOff>76200</xdr:rowOff>
    </xdr:from>
    <xdr:ext cx="2533651" cy="657225"/>
    <xdr:sp macro="" textlink="">
      <xdr:nvSpPr>
        <xdr:cNvPr id="7" name="Shape 3">
          <a:extLst>
            <a:ext uri="{FF2B5EF4-FFF2-40B4-BE49-F238E27FC236}">
              <a16:creationId xmlns:a16="http://schemas.microsoft.com/office/drawing/2014/main" id="{29952F1D-0D33-44E2-A926-93ADF57810F6}"/>
            </a:ext>
          </a:extLst>
        </xdr:cNvPr>
        <xdr:cNvSpPr/>
      </xdr:nvSpPr>
      <xdr:spPr>
        <a:xfrm>
          <a:off x="6553200" y="2019300"/>
          <a:ext cx="2533651" cy="657225"/>
        </a:xfrm>
        <a:prstGeom prst="roundRect">
          <a:avLst>
            <a:gd name="adj" fmla="val 16667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 b="1">
              <a:solidFill>
                <a:srgbClr val="FFFFFF"/>
              </a:solidFill>
            </a:rPr>
            <a:t>Je prends</a:t>
          </a:r>
          <a:endParaRPr sz="2800" b="1">
            <a:solidFill>
              <a:srgbClr val="FFFFFF"/>
            </a:solidFill>
          </a:endParaRPr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422673</xdr:colOff>
      <xdr:row>9</xdr:row>
      <xdr:rowOff>172640</xdr:rowOff>
    </xdr:from>
    <xdr:to>
      <xdr:col>8</xdr:col>
      <xdr:colOff>27743</xdr:colOff>
      <xdr:row>10</xdr:row>
      <xdr:rowOff>265340</xdr:rowOff>
    </xdr:to>
    <xdr:sp macro="[0]!Accue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83E0E945-6991-44AE-AE87-869A7DF3D163}"/>
            </a:ext>
          </a:extLst>
        </xdr:cNvPr>
        <xdr:cNvSpPr/>
      </xdr:nvSpPr>
      <xdr:spPr>
        <a:xfrm>
          <a:off x="3137298" y="2583656"/>
          <a:ext cx="4087773" cy="36059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Retour à l'acceuil</a:t>
          </a:r>
        </a:p>
      </xdr:txBody>
    </xdr:sp>
    <xdr:clientData/>
  </xdr:twoCellAnchor>
  <xdr:twoCellAnchor editAs="oneCell">
    <xdr:from>
      <xdr:col>0</xdr:col>
      <xdr:colOff>184897</xdr:colOff>
      <xdr:row>0</xdr:row>
      <xdr:rowOff>381001</xdr:rowOff>
    </xdr:from>
    <xdr:to>
      <xdr:col>2</xdr:col>
      <xdr:colOff>201706</xdr:colOff>
      <xdr:row>1</xdr:row>
      <xdr:rowOff>245410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C182584B-2492-40E1-A39A-FB06C9185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897" y="381001"/>
          <a:ext cx="2039471" cy="407894"/>
        </a:xfrm>
        <a:prstGeom prst="rect">
          <a:avLst/>
        </a:prstGeom>
      </xdr:spPr>
    </xdr:pic>
    <xdr:clientData/>
  </xdr:twoCellAnchor>
  <xdr:twoCellAnchor>
    <xdr:from>
      <xdr:col>8</xdr:col>
      <xdr:colOff>369445</xdr:colOff>
      <xdr:row>9</xdr:row>
      <xdr:rowOff>174391</xdr:rowOff>
    </xdr:from>
    <xdr:to>
      <xdr:col>10</xdr:col>
      <xdr:colOff>33617</xdr:colOff>
      <xdr:row>10</xdr:row>
      <xdr:rowOff>267091</xdr:rowOff>
    </xdr:to>
    <xdr:sp macro="[0]!Accuei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A59DC61-B23D-4D3E-A05F-07B7F11DB241}"/>
            </a:ext>
          </a:extLst>
        </xdr:cNvPr>
        <xdr:cNvSpPr/>
      </xdr:nvSpPr>
      <xdr:spPr>
        <a:xfrm>
          <a:off x="7468371" y="2869406"/>
          <a:ext cx="1171364" cy="361641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Je prends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369608</xdr:colOff>
      <xdr:row>15</xdr:row>
      <xdr:rowOff>90447</xdr:rowOff>
    </xdr:from>
    <xdr:to>
      <xdr:col>5</xdr:col>
      <xdr:colOff>100262</xdr:colOff>
      <xdr:row>17</xdr:row>
      <xdr:rowOff>152401</xdr:rowOff>
    </xdr:to>
    <xdr:sp macro="[0]!RéinitialiserFoot2M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FBDD219-D966-4E0C-8A29-2FB883B1DEC2}"/>
            </a:ext>
          </a:extLst>
        </xdr:cNvPr>
        <xdr:cNvSpPr/>
      </xdr:nvSpPr>
      <xdr:spPr>
        <a:xfrm>
          <a:off x="1673029" y="2687263"/>
          <a:ext cx="2558075" cy="382796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Réinitialiser</a:t>
          </a:r>
        </a:p>
      </xdr:txBody>
    </xdr:sp>
    <xdr:clientData/>
  </xdr:twoCellAnchor>
  <xdr:twoCellAnchor>
    <xdr:from>
      <xdr:col>5</xdr:col>
      <xdr:colOff>639534</xdr:colOff>
      <xdr:row>15</xdr:row>
      <xdr:rowOff>92527</xdr:rowOff>
    </xdr:from>
    <xdr:to>
      <xdr:col>8</xdr:col>
      <xdr:colOff>524514</xdr:colOff>
      <xdr:row>17</xdr:row>
      <xdr:rowOff>154481</xdr:rowOff>
    </xdr:to>
    <xdr:sp macro="[0]!Calculer_1N2_2Match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198D207-578E-4DFE-8EC0-1B3B55BA6513}"/>
            </a:ext>
          </a:extLst>
        </xdr:cNvPr>
        <xdr:cNvSpPr/>
      </xdr:nvSpPr>
      <xdr:spPr>
        <a:xfrm>
          <a:off x="4770376" y="2689343"/>
          <a:ext cx="2712401" cy="382796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Calculer</a:t>
          </a:r>
        </a:p>
      </xdr:txBody>
    </xdr:sp>
    <xdr:clientData/>
  </xdr:twoCellAnchor>
  <xdr:twoCellAnchor editAs="oneCell">
    <xdr:from>
      <xdr:col>4</xdr:col>
      <xdr:colOff>350921</xdr:colOff>
      <xdr:row>0</xdr:row>
      <xdr:rowOff>285750</xdr:rowOff>
    </xdr:from>
    <xdr:to>
      <xdr:col>6</xdr:col>
      <xdr:colOff>505444</xdr:colOff>
      <xdr:row>3</xdr:row>
      <xdr:rowOff>21881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1642BABB-1174-408D-9DA5-76F8E4C90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9289" y="285750"/>
          <a:ext cx="2039471" cy="4078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1815945</xdr:colOff>
      <xdr:row>28</xdr:row>
      <xdr:rowOff>5953</xdr:rowOff>
    </xdr:from>
    <xdr:to>
      <xdr:col>7</xdr:col>
      <xdr:colOff>956429</xdr:colOff>
      <xdr:row>30</xdr:row>
      <xdr:rowOff>80793</xdr:rowOff>
    </xdr:to>
    <xdr:sp macro="[0]!Accue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E03AB47-6443-4638-BDCC-37722F3BB937}"/>
            </a:ext>
          </a:extLst>
        </xdr:cNvPr>
        <xdr:cNvSpPr/>
      </xdr:nvSpPr>
      <xdr:spPr>
        <a:xfrm>
          <a:off x="2214804" y="4006453"/>
          <a:ext cx="4170875" cy="36059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Retour à l'acceuil</a:t>
          </a:r>
        </a:p>
      </xdr:txBody>
    </xdr:sp>
    <xdr:clientData/>
  </xdr:twoCellAnchor>
  <xdr:twoCellAnchor>
    <xdr:from>
      <xdr:col>7</xdr:col>
      <xdr:colOff>1035843</xdr:colOff>
      <xdr:row>28</xdr:row>
      <xdr:rowOff>5953</xdr:rowOff>
    </xdr:from>
    <xdr:to>
      <xdr:col>8</xdr:col>
      <xdr:colOff>201004</xdr:colOff>
      <xdr:row>30</xdr:row>
      <xdr:rowOff>81844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CD734ED-04A9-41D4-98FD-4587850C85F7}"/>
            </a:ext>
          </a:extLst>
        </xdr:cNvPr>
        <xdr:cNvSpPr/>
      </xdr:nvSpPr>
      <xdr:spPr>
        <a:xfrm>
          <a:off x="6465093" y="4006453"/>
          <a:ext cx="1195177" cy="361641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Je prends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8415</xdr:colOff>
      <xdr:row>18</xdr:row>
      <xdr:rowOff>186601</xdr:rowOff>
    </xdr:from>
    <xdr:to>
      <xdr:col>5</xdr:col>
      <xdr:colOff>363141</xdr:colOff>
      <xdr:row>20</xdr:row>
      <xdr:rowOff>112698</xdr:rowOff>
    </xdr:to>
    <xdr:sp macro="[0]!RéinitialiserFoot3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1A7A0E4-52D9-4EA7-817A-34B45D643BCD}"/>
            </a:ext>
          </a:extLst>
        </xdr:cNvPr>
        <xdr:cNvSpPr/>
      </xdr:nvSpPr>
      <xdr:spPr>
        <a:xfrm>
          <a:off x="1859837" y="4151382"/>
          <a:ext cx="2878851" cy="366629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Réinitialiser</a:t>
          </a:r>
        </a:p>
      </xdr:txBody>
    </xdr:sp>
    <xdr:clientData/>
  </xdr:twoCellAnchor>
  <xdr:twoCellAnchor>
    <xdr:from>
      <xdr:col>6</xdr:col>
      <xdr:colOff>270560</xdr:colOff>
      <xdr:row>18</xdr:row>
      <xdr:rowOff>187010</xdr:rowOff>
    </xdr:from>
    <xdr:to>
      <xdr:col>9</xdr:col>
      <xdr:colOff>1031960</xdr:colOff>
      <xdr:row>20</xdr:row>
      <xdr:rowOff>109619</xdr:rowOff>
    </xdr:to>
    <xdr:sp macro="[0]!Calculer_1N2_3Match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742BFF3-5314-4B38-A782-500CBEEC7925}"/>
            </a:ext>
          </a:extLst>
        </xdr:cNvPr>
        <xdr:cNvSpPr/>
      </xdr:nvSpPr>
      <xdr:spPr>
        <a:xfrm>
          <a:off x="6924922" y="4088976"/>
          <a:ext cx="3934210" cy="3561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Calculer</a:t>
          </a:r>
        </a:p>
      </xdr:txBody>
    </xdr:sp>
    <xdr:clientData/>
  </xdr:twoCellAnchor>
  <xdr:twoCellAnchor editAs="oneCell">
    <xdr:from>
      <xdr:col>4</xdr:col>
      <xdr:colOff>899948</xdr:colOff>
      <xdr:row>1</xdr:row>
      <xdr:rowOff>0</xdr:rowOff>
    </xdr:from>
    <xdr:to>
      <xdr:col>6</xdr:col>
      <xdr:colOff>824212</xdr:colOff>
      <xdr:row>2</xdr:row>
      <xdr:rowOff>191118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ADB67368-02BA-4D74-A2DC-B0D5F42CC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8017" y="216776"/>
          <a:ext cx="2039471" cy="4078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811816</xdr:colOff>
      <xdr:row>18</xdr:row>
      <xdr:rowOff>157655</xdr:rowOff>
    </xdr:from>
    <xdr:to>
      <xdr:col>5</xdr:col>
      <xdr:colOff>792307</xdr:colOff>
      <xdr:row>21</xdr:row>
      <xdr:rowOff>24500</xdr:rowOff>
    </xdr:to>
    <xdr:sp macro="[0]!RéinitialiserBasket2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969F82F-2D3E-4A16-B8F7-2676FF613D67}"/>
            </a:ext>
          </a:extLst>
        </xdr:cNvPr>
        <xdr:cNvSpPr/>
      </xdr:nvSpPr>
      <xdr:spPr>
        <a:xfrm>
          <a:off x="2353675" y="3158030"/>
          <a:ext cx="2802273" cy="349048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Réinitialiser</a:t>
          </a:r>
        </a:p>
      </xdr:txBody>
    </xdr:sp>
    <xdr:clientData/>
  </xdr:twoCellAnchor>
  <xdr:twoCellAnchor>
    <xdr:from>
      <xdr:col>6</xdr:col>
      <xdr:colOff>592236</xdr:colOff>
      <xdr:row>18</xdr:row>
      <xdr:rowOff>160734</xdr:rowOff>
    </xdr:from>
    <xdr:to>
      <xdr:col>9</xdr:col>
      <xdr:colOff>797720</xdr:colOff>
      <xdr:row>21</xdr:row>
      <xdr:rowOff>32142</xdr:rowOff>
    </xdr:to>
    <xdr:sp macro="[0]!Accuei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FF22B6E4-B88E-4C63-8725-BCA63FFCF7FC}"/>
            </a:ext>
          </a:extLst>
        </xdr:cNvPr>
        <xdr:cNvSpPr/>
      </xdr:nvSpPr>
      <xdr:spPr>
        <a:xfrm>
          <a:off x="5896470" y="3161109"/>
          <a:ext cx="3027266" cy="353611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Retour à l'acceuil</a:t>
          </a:r>
        </a:p>
      </xdr:txBody>
    </xdr:sp>
    <xdr:clientData/>
  </xdr:twoCellAnchor>
  <xdr:twoCellAnchor editAs="oneCell">
    <xdr:from>
      <xdr:col>4</xdr:col>
      <xdr:colOff>660796</xdr:colOff>
      <xdr:row>1</xdr:row>
      <xdr:rowOff>0</xdr:rowOff>
    </xdr:from>
    <xdr:to>
      <xdr:col>6</xdr:col>
      <xdr:colOff>819080</xdr:colOff>
      <xdr:row>3</xdr:row>
      <xdr:rowOff>86426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0F7AA36-DDFD-4442-8FCF-910FD8C5D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3843" y="267891"/>
          <a:ext cx="2039471" cy="407894"/>
        </a:xfrm>
        <a:prstGeom prst="rect">
          <a:avLst/>
        </a:prstGeom>
      </xdr:spPr>
    </xdr:pic>
    <xdr:clientData/>
  </xdr:twoCellAnchor>
  <xdr:twoCellAnchor>
    <xdr:from>
      <xdr:col>10</xdr:col>
      <xdr:colOff>261937</xdr:colOff>
      <xdr:row>6</xdr:row>
      <xdr:rowOff>130968</xdr:rowOff>
    </xdr:from>
    <xdr:to>
      <xdr:col>11</xdr:col>
      <xdr:colOff>492707</xdr:colOff>
      <xdr:row>9</xdr:row>
      <xdr:rowOff>10406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8FA177D9-7521-4502-B489-E7E9CD5DC76C}"/>
            </a:ext>
          </a:extLst>
        </xdr:cNvPr>
        <xdr:cNvSpPr/>
      </xdr:nvSpPr>
      <xdr:spPr>
        <a:xfrm>
          <a:off x="9328546" y="1202531"/>
          <a:ext cx="1171364" cy="361641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Je prends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20118</xdr:colOff>
      <xdr:row>20</xdr:row>
      <xdr:rowOff>24961</xdr:rowOff>
    </xdr:from>
    <xdr:to>
      <xdr:col>7</xdr:col>
      <xdr:colOff>567218</xdr:colOff>
      <xdr:row>22</xdr:row>
      <xdr:rowOff>62752</xdr:rowOff>
    </xdr:to>
    <xdr:sp macro="[0]!Accue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3F4258-BD10-4C0D-A48F-8E648E61698A}"/>
            </a:ext>
          </a:extLst>
        </xdr:cNvPr>
        <xdr:cNvSpPr/>
      </xdr:nvSpPr>
      <xdr:spPr>
        <a:xfrm>
          <a:off x="2466852" y="4150477"/>
          <a:ext cx="3523663" cy="418791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Retour à l'acceuil</a:t>
          </a:r>
        </a:p>
      </xdr:txBody>
    </xdr:sp>
    <xdr:clientData/>
  </xdr:twoCellAnchor>
  <xdr:twoCellAnchor>
    <xdr:from>
      <xdr:col>7</xdr:col>
      <xdr:colOff>762001</xdr:colOff>
      <xdr:row>20</xdr:row>
      <xdr:rowOff>23812</xdr:rowOff>
    </xdr:from>
    <xdr:to>
      <xdr:col>8</xdr:col>
      <xdr:colOff>486756</xdr:colOff>
      <xdr:row>22</xdr:row>
      <xdr:rowOff>65484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3831F17-4037-4804-8B24-DC0EDF565C43}"/>
            </a:ext>
          </a:extLst>
        </xdr:cNvPr>
        <xdr:cNvSpPr/>
      </xdr:nvSpPr>
      <xdr:spPr>
        <a:xfrm>
          <a:off x="6185298" y="4149328"/>
          <a:ext cx="1171364" cy="422672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Je prends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184896</xdr:colOff>
      <xdr:row>16</xdr:row>
      <xdr:rowOff>80361</xdr:rowOff>
    </xdr:from>
    <xdr:to>
      <xdr:col>5</xdr:col>
      <xdr:colOff>304800</xdr:colOff>
      <xdr:row>18</xdr:row>
      <xdr:rowOff>139629</xdr:rowOff>
    </xdr:to>
    <xdr:sp macro="[0]!RéinitialiserBasket3M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78FE78D-8EB3-46ED-ADFB-FEA37196BFD1}"/>
            </a:ext>
          </a:extLst>
        </xdr:cNvPr>
        <xdr:cNvSpPr/>
      </xdr:nvSpPr>
      <xdr:spPr>
        <a:xfrm>
          <a:off x="2432796" y="3024947"/>
          <a:ext cx="2525647" cy="385839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Réinitialiser</a:t>
          </a:r>
        </a:p>
      </xdr:txBody>
    </xdr:sp>
    <xdr:clientData/>
  </xdr:twoCellAnchor>
  <xdr:twoCellAnchor>
    <xdr:from>
      <xdr:col>6</xdr:col>
      <xdr:colOff>150312</xdr:colOff>
      <xdr:row>16</xdr:row>
      <xdr:rowOff>80770</xdr:rowOff>
    </xdr:from>
    <xdr:to>
      <xdr:col>8</xdr:col>
      <xdr:colOff>833043</xdr:colOff>
      <xdr:row>18</xdr:row>
      <xdr:rowOff>136550</xdr:rowOff>
    </xdr:to>
    <xdr:sp macro="[0]!Calculer_12_3Match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78CFF593-CF88-4326-AF3F-17D279334297}"/>
            </a:ext>
          </a:extLst>
        </xdr:cNvPr>
        <xdr:cNvSpPr/>
      </xdr:nvSpPr>
      <xdr:spPr>
        <a:xfrm>
          <a:off x="4569912" y="3025356"/>
          <a:ext cx="2674817" cy="382351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Calculer</a:t>
          </a:r>
        </a:p>
      </xdr:txBody>
    </xdr:sp>
    <xdr:clientData/>
  </xdr:twoCellAnchor>
  <xdr:twoCellAnchor editAs="oneCell">
    <xdr:from>
      <xdr:col>4</xdr:col>
      <xdr:colOff>576944</xdr:colOff>
      <xdr:row>0</xdr:row>
      <xdr:rowOff>272143</xdr:rowOff>
    </xdr:from>
    <xdr:to>
      <xdr:col>7</xdr:col>
      <xdr:colOff>150800</xdr:colOff>
      <xdr:row>2</xdr:row>
      <xdr:rowOff>21451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DF7C93FF-E7FF-4A42-AE7C-8FAFAB42A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8715" y="272143"/>
          <a:ext cx="2039471" cy="4078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E690-71AD-437B-861E-C50D5A8087D1}">
  <sheetPr codeName="Feuil2"/>
  <dimension ref="I4"/>
  <sheetViews>
    <sheetView workbookViewId="0">
      <selection activeCell="U40" sqref="U40"/>
    </sheetView>
  </sheetViews>
  <sheetFormatPr baseColWidth="10" defaultColWidth="13.28515625" defaultRowHeight="15" customHeight="1" x14ac:dyDescent="0.2"/>
  <cols>
    <col min="1" max="1" width="13.7109375" style="80" customWidth="1"/>
    <col min="2" max="16384" width="13.28515625" style="80"/>
  </cols>
  <sheetData>
    <row r="4" spans="9:9" ht="15" customHeight="1" x14ac:dyDescent="0.2">
      <c r="I4" s="8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62C36-1F38-4E36-A62F-38A734F4771F}">
  <sheetPr codeName="Feuil11"/>
  <dimension ref="A1:X12"/>
  <sheetViews>
    <sheetView tabSelected="1" zoomScale="220" zoomScaleNormal="220" workbookViewId="0">
      <selection activeCell="B3" sqref="B3"/>
    </sheetView>
  </sheetViews>
  <sheetFormatPr baseColWidth="10" defaultColWidth="10.42578125" defaultRowHeight="20.25" customHeight="1" x14ac:dyDescent="0.2"/>
  <cols>
    <col min="1" max="1" width="8.7109375" style="86" customWidth="1"/>
    <col min="2" max="2" width="23.140625" style="86" customWidth="1"/>
    <col min="3" max="5" width="11.42578125" style="86" customWidth="1"/>
    <col min="6" max="6" width="6.140625" style="86" customWidth="1"/>
    <col min="7" max="15" width="10.42578125" style="86"/>
    <col min="16" max="16" width="6.28515625" style="86" bestFit="1" customWidth="1"/>
    <col min="17" max="16384" width="10.42578125" style="86"/>
  </cols>
  <sheetData>
    <row r="1" spans="1:24" ht="20.25" customHeight="1" thickBot="1" x14ac:dyDescent="0.25">
      <c r="P1" s="86" t="e">
        <f>MATCH(B3,P2:W2,0)</f>
        <v>#N/A</v>
      </c>
    </row>
    <row r="2" spans="1:24" ht="20.25" customHeight="1" thickBot="1" x14ac:dyDescent="0.25">
      <c r="C2" s="87" t="str">
        <f>Suivi!A2</f>
        <v>Dépôt</v>
      </c>
      <c r="D2" s="87" t="str">
        <f>Suivi!A3</f>
        <v>Retrait</v>
      </c>
      <c r="E2" s="87" t="s">
        <v>43</v>
      </c>
      <c r="H2" s="87" t="s">
        <v>36</v>
      </c>
      <c r="I2" s="87" t="s">
        <v>11</v>
      </c>
      <c r="P2" s="88" t="s">
        <v>44</v>
      </c>
      <c r="Q2" s="88" t="s">
        <v>45</v>
      </c>
      <c r="R2" s="88" t="s">
        <v>46</v>
      </c>
      <c r="S2" s="88" t="s">
        <v>10</v>
      </c>
      <c r="T2" s="88" t="s">
        <v>47</v>
      </c>
      <c r="U2" s="88" t="s">
        <v>48</v>
      </c>
      <c r="V2" s="88" t="s">
        <v>49</v>
      </c>
      <c r="W2" s="88" t="s">
        <v>50</v>
      </c>
      <c r="X2" s="86" t="s">
        <v>42</v>
      </c>
    </row>
    <row r="3" spans="1:24" ht="20.25" customHeight="1" x14ac:dyDescent="0.2">
      <c r="B3" s="89"/>
      <c r="C3" s="89"/>
      <c r="D3" s="89"/>
      <c r="E3" s="89"/>
      <c r="G3" s="90" t="s">
        <v>44</v>
      </c>
      <c r="H3" s="91">
        <f>Suivi!B5</f>
        <v>2.84</v>
      </c>
      <c r="I3" s="91">
        <f>Suivi!B7</f>
        <v>-17.16</v>
      </c>
    </row>
    <row r="4" spans="1:24" ht="20.25" customHeight="1" x14ac:dyDescent="0.2">
      <c r="G4" s="90" t="s">
        <v>45</v>
      </c>
      <c r="H4" s="91">
        <f>Suivi!C5</f>
        <v>9.52</v>
      </c>
      <c r="I4" s="91">
        <f>Suivi!C7</f>
        <v>-184.85999999999999</v>
      </c>
    </row>
    <row r="5" spans="1:24" ht="20.25" customHeight="1" x14ac:dyDescent="0.2">
      <c r="G5" s="90" t="s">
        <v>46</v>
      </c>
      <c r="H5" s="91">
        <f>Suivi!D5</f>
        <v>14.41</v>
      </c>
      <c r="I5" s="91">
        <f>Suivi!D7</f>
        <v>119.41</v>
      </c>
    </row>
    <row r="6" spans="1:24" ht="20.25" customHeight="1" x14ac:dyDescent="0.2">
      <c r="G6" s="90" t="str">
        <f>Suivi!E1</f>
        <v>PMU</v>
      </c>
      <c r="H6" s="91">
        <f>Suivi!E5</f>
        <v>0.2</v>
      </c>
      <c r="I6" s="91">
        <f>Suivi!E7</f>
        <v>265.2</v>
      </c>
    </row>
    <row r="7" spans="1:24" ht="20.25" customHeight="1" x14ac:dyDescent="0.2">
      <c r="G7" s="90" t="s">
        <v>47</v>
      </c>
      <c r="H7" s="91">
        <f>Suivi!F5</f>
        <v>14.5</v>
      </c>
      <c r="I7" s="91">
        <f>Suivi!F7</f>
        <v>190.02</v>
      </c>
    </row>
    <row r="8" spans="1:24" ht="20.25" customHeight="1" x14ac:dyDescent="0.2">
      <c r="G8" s="90" t="s">
        <v>48</v>
      </c>
      <c r="H8" s="91">
        <f>Suivi!G5</f>
        <v>14.5</v>
      </c>
      <c r="I8" s="91">
        <f>Suivi!G7</f>
        <v>-17.5</v>
      </c>
    </row>
    <row r="9" spans="1:24" ht="20.25" customHeight="1" x14ac:dyDescent="0.2">
      <c r="A9" s="92"/>
      <c r="B9" s="93"/>
      <c r="C9" s="93"/>
      <c r="D9" s="93"/>
      <c r="E9" s="93"/>
      <c r="F9" s="93"/>
      <c r="G9" s="90" t="s">
        <v>49</v>
      </c>
      <c r="H9" s="91">
        <f>Suivi!H5</f>
        <v>0.86</v>
      </c>
      <c r="I9" s="91">
        <f>Suivi!H7</f>
        <v>8.36</v>
      </c>
      <c r="J9" s="93"/>
    </row>
    <row r="10" spans="1:24" ht="20.25" customHeight="1" x14ac:dyDescent="0.2">
      <c r="A10" s="92"/>
      <c r="B10" s="93"/>
      <c r="C10" s="93"/>
      <c r="D10" s="93"/>
      <c r="E10" s="93"/>
      <c r="F10" s="93"/>
      <c r="G10" s="90" t="s">
        <v>50</v>
      </c>
      <c r="H10" s="91">
        <f>Suivi!I5</f>
        <v>0.97</v>
      </c>
      <c r="I10" s="91">
        <f>Suivi!I7</f>
        <v>0.97</v>
      </c>
      <c r="J10" s="93"/>
    </row>
    <row r="11" spans="1:24" ht="20.25" customHeight="1" x14ac:dyDescent="0.2">
      <c r="G11" s="90" t="s">
        <v>42</v>
      </c>
      <c r="H11" s="91">
        <f>Suivi!B8</f>
        <v>45</v>
      </c>
      <c r="I11" s="91">
        <f>Suivi!J8</f>
        <v>162.94999999999987</v>
      </c>
      <c r="J11" s="94"/>
    </row>
    <row r="12" spans="1:24" ht="20.25" customHeight="1" x14ac:dyDescent="0.2">
      <c r="G12" s="87" t="s">
        <v>11</v>
      </c>
      <c r="H12" s="91">
        <f>Suivi!J5</f>
        <v>102.8</v>
      </c>
      <c r="I12" s="91">
        <f>Suivi!J7</f>
        <v>399.43999999999988</v>
      </c>
    </row>
  </sheetData>
  <phoneticPr fontId="7" type="noConversion"/>
  <conditionalFormatting sqref="H3:I12">
    <cfRule type="cellIs" dxfId="36" priority="1" operator="lessThan">
      <formula>0</formula>
    </cfRule>
    <cfRule type="cellIs" dxfId="35" priority="2" operator="equal">
      <formula>0</formula>
    </cfRule>
    <cfRule type="cellIs" dxfId="34" priority="3" operator="greaterThan">
      <formula>0</formula>
    </cfRule>
  </conditionalFormatting>
  <dataValidations count="1">
    <dataValidation type="list" allowBlank="1" showInputMessage="1" showErrorMessage="1" promptTitle="Choisissez votre book" sqref="B3" xr:uid="{6A61FD49-13B8-4F4F-9B20-BD49109E1579}">
      <formula1>$G$3:$G$11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D5652-91ED-4180-A153-D21D702307BE}">
  <sheetPr codeName="Feuil6"/>
  <dimension ref="A1:K10"/>
  <sheetViews>
    <sheetView zoomScale="110" zoomScaleNormal="110" workbookViewId="0">
      <selection activeCell="B5" sqref="B5"/>
    </sheetView>
  </sheetViews>
  <sheetFormatPr baseColWidth="10" defaultColWidth="22.5703125" defaultRowHeight="54.75" customHeight="1" x14ac:dyDescent="0.2"/>
  <cols>
    <col min="1" max="1" width="24.5703125" style="61" customWidth="1"/>
    <col min="2" max="16384" width="22.5703125" style="61"/>
  </cols>
  <sheetData>
    <row r="1" spans="1:11" ht="54.75" customHeight="1" thickBot="1" x14ac:dyDescent="0.25">
      <c r="A1" s="58" t="s">
        <v>51</v>
      </c>
      <c r="B1" s="58" t="s">
        <v>8</v>
      </c>
      <c r="C1" s="58" t="s">
        <v>7</v>
      </c>
      <c r="D1" s="58" t="s">
        <v>9</v>
      </c>
      <c r="E1" s="58" t="s">
        <v>10</v>
      </c>
      <c r="F1" s="58" t="s">
        <v>13</v>
      </c>
      <c r="G1" s="58" t="s">
        <v>40</v>
      </c>
      <c r="H1" s="58" t="s">
        <v>12</v>
      </c>
      <c r="I1" s="58" t="s">
        <v>14</v>
      </c>
      <c r="J1" s="58" t="s">
        <v>11</v>
      </c>
    </row>
    <row r="2" spans="1:11" ht="54.75" customHeight="1" thickBot="1" x14ac:dyDescent="0.25">
      <c r="A2" s="58" t="s">
        <v>34</v>
      </c>
      <c r="B2" s="59">
        <v>-765</v>
      </c>
      <c r="C2" s="59">
        <v>-560</v>
      </c>
      <c r="D2" s="59">
        <v>-505</v>
      </c>
      <c r="E2" s="59">
        <v>-150</v>
      </c>
      <c r="F2" s="59">
        <v>-133.47999999999999</v>
      </c>
      <c r="G2" s="59">
        <v>-65</v>
      </c>
      <c r="H2" s="59">
        <v>-202</v>
      </c>
      <c r="I2" s="59">
        <v>-95</v>
      </c>
      <c r="J2" s="60">
        <f>SUM(B2:I2)-10</f>
        <v>-2485.48</v>
      </c>
    </row>
    <row r="3" spans="1:11" ht="54.75" customHeight="1" thickBot="1" x14ac:dyDescent="0.25">
      <c r="A3" s="58" t="s">
        <v>41</v>
      </c>
      <c r="B3" s="59">
        <v>745</v>
      </c>
      <c r="C3" s="59">
        <v>365.62</v>
      </c>
      <c r="D3" s="59">
        <v>610</v>
      </c>
      <c r="E3" s="59">
        <v>415</v>
      </c>
      <c r="F3" s="59">
        <f>52+21+23+100+83+30</f>
        <v>309</v>
      </c>
      <c r="G3" s="59">
        <v>33</v>
      </c>
      <c r="H3" s="59">
        <v>209.5</v>
      </c>
      <c r="I3" s="59">
        <v>95</v>
      </c>
      <c r="J3" s="60">
        <f>SUM(B3:I3)</f>
        <v>2782.12</v>
      </c>
    </row>
    <row r="4" spans="1:11" ht="54.75" customHeight="1" thickBot="1" x14ac:dyDescent="0.25">
      <c r="A4" s="58" t="s">
        <v>35</v>
      </c>
      <c r="B4" s="59">
        <f>SUM(B2:B3)</f>
        <v>-20</v>
      </c>
      <c r="C4" s="59">
        <f t="shared" ref="C4:I4" si="0">SUM(C2:C3)</f>
        <v>-194.38</v>
      </c>
      <c r="D4" s="59">
        <f t="shared" si="0"/>
        <v>105</v>
      </c>
      <c r="E4" s="59">
        <f t="shared" si="0"/>
        <v>265</v>
      </c>
      <c r="F4" s="59">
        <f t="shared" si="0"/>
        <v>175.52</v>
      </c>
      <c r="G4" s="59">
        <f t="shared" si="0"/>
        <v>-32</v>
      </c>
      <c r="H4" s="59">
        <f t="shared" si="0"/>
        <v>7.5</v>
      </c>
      <c r="I4" s="59">
        <f t="shared" si="0"/>
        <v>0</v>
      </c>
      <c r="J4" s="60">
        <f>SUM(J2:J3)</f>
        <v>296.63999999999987</v>
      </c>
    </row>
    <row r="5" spans="1:11" ht="54.75" customHeight="1" thickBot="1" x14ac:dyDescent="0.25">
      <c r="A5" s="58" t="s">
        <v>36</v>
      </c>
      <c r="B5" s="59">
        <v>2.84</v>
      </c>
      <c r="C5" s="59">
        <v>9.52</v>
      </c>
      <c r="D5" s="59">
        <v>14.41</v>
      </c>
      <c r="E5" s="59">
        <v>0.2</v>
      </c>
      <c r="F5" s="59">
        <v>14.5</v>
      </c>
      <c r="G5" s="59">
        <v>14.5</v>
      </c>
      <c r="H5" s="59">
        <v>0.86</v>
      </c>
      <c r="I5" s="59">
        <v>0.97</v>
      </c>
      <c r="J5" s="60">
        <f>SUM(B5:I5,B8)</f>
        <v>102.8</v>
      </c>
    </row>
    <row r="6" spans="1:11" ht="54.75" customHeight="1" thickBot="1" x14ac:dyDescent="0.25">
      <c r="A6" s="58" t="s">
        <v>37</v>
      </c>
      <c r="B6" s="59">
        <v>0</v>
      </c>
      <c r="C6" s="59">
        <v>0</v>
      </c>
      <c r="D6" s="59">
        <v>0</v>
      </c>
      <c r="E6" s="59">
        <v>0</v>
      </c>
      <c r="F6" s="59">
        <v>0</v>
      </c>
      <c r="G6" s="59">
        <v>0</v>
      </c>
      <c r="H6" s="59">
        <v>0</v>
      </c>
      <c r="I6" s="59">
        <v>0</v>
      </c>
      <c r="J6" s="60">
        <f>SUM(B6:I6)</f>
        <v>0</v>
      </c>
    </row>
    <row r="7" spans="1:11" ht="54.75" customHeight="1" thickBot="1" x14ac:dyDescent="0.25">
      <c r="A7" s="58" t="s">
        <v>11</v>
      </c>
      <c r="B7" s="60">
        <f>SUM(B4:B6)</f>
        <v>-17.16</v>
      </c>
      <c r="C7" s="60">
        <f t="shared" ref="C7:I7" si="1">SUM(C4:C6)</f>
        <v>-184.85999999999999</v>
      </c>
      <c r="D7" s="60">
        <f t="shared" si="1"/>
        <v>119.41</v>
      </c>
      <c r="E7" s="60">
        <f t="shared" si="1"/>
        <v>265.2</v>
      </c>
      <c r="F7" s="60">
        <f t="shared" si="1"/>
        <v>190.02</v>
      </c>
      <c r="G7" s="60">
        <f t="shared" si="1"/>
        <v>-17.5</v>
      </c>
      <c r="H7" s="60">
        <f t="shared" si="1"/>
        <v>8.36</v>
      </c>
      <c r="I7" s="60">
        <f t="shared" si="1"/>
        <v>0.97</v>
      </c>
      <c r="J7" s="60">
        <f>SUM(J4:J5)</f>
        <v>399.43999999999988</v>
      </c>
      <c r="K7" s="83"/>
    </row>
    <row r="8" spans="1:11" ht="54.75" customHeight="1" thickBot="1" x14ac:dyDescent="0.25">
      <c r="A8" s="58" t="s">
        <v>38</v>
      </c>
      <c r="B8" s="98">
        <v>45</v>
      </c>
      <c r="C8" s="98"/>
      <c r="D8" s="98"/>
      <c r="E8" s="98"/>
      <c r="F8" s="98"/>
      <c r="G8" s="98"/>
      <c r="H8" s="98"/>
      <c r="I8" s="98"/>
      <c r="J8" s="60">
        <f>J7-236.49</f>
        <v>162.94999999999987</v>
      </c>
      <c r="K8" s="83"/>
    </row>
    <row r="9" spans="1:11" ht="54.75" customHeight="1" thickBot="1" x14ac:dyDescent="0.25">
      <c r="A9" s="58"/>
      <c r="B9" s="99"/>
      <c r="C9" s="99"/>
      <c r="D9" s="99"/>
      <c r="E9" s="99"/>
      <c r="F9" s="99"/>
      <c r="G9" s="99"/>
      <c r="H9" s="99"/>
      <c r="I9" s="99"/>
      <c r="J9" s="60"/>
    </row>
    <row r="10" spans="1:11" ht="54.75" customHeight="1" x14ac:dyDescent="0.2">
      <c r="J10" s="83"/>
    </row>
  </sheetData>
  <mergeCells count="2">
    <mergeCell ref="B8:I8"/>
    <mergeCell ref="B9:I9"/>
  </mergeCells>
  <conditionalFormatting sqref="J8:J9 B8:B9 B2:J7">
    <cfRule type="notContainsErrors" dxfId="33" priority="1">
      <formula>NOT(ISERROR(B2))</formula>
    </cfRule>
    <cfRule type="colorScale" priority="2">
      <colorScale>
        <cfvo type="num" val="-1E-4"/>
        <cfvo type="num" val="0"/>
        <cfvo type="num" val="1E-4"/>
        <color theme="5" tint="0.39997558519241921"/>
        <color theme="6" tint="0.39997558519241921"/>
        <color theme="7" tint="0.39997558519241921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A988"/>
  <sheetViews>
    <sheetView zoomScaleNormal="100" workbookViewId="0">
      <selection activeCell="D3" sqref="D3"/>
    </sheetView>
  </sheetViews>
  <sheetFormatPr baseColWidth="10" defaultColWidth="14.42578125" defaultRowHeight="25.5" customHeight="1" x14ac:dyDescent="0.2"/>
  <cols>
    <col min="1" max="26" width="16.7109375" style="12" customWidth="1"/>
    <col min="27" max="16384" width="14.42578125" style="12"/>
  </cols>
  <sheetData>
    <row r="1" spans="1:27" ht="25.5" customHeight="1" x14ac:dyDescent="0.2">
      <c r="A1" s="2" t="s">
        <v>0</v>
      </c>
      <c r="B1" s="2" t="s">
        <v>1</v>
      </c>
      <c r="C1" s="3" t="str">
        <f>IF(ISBLANK(B2),"","Côte 3")</f>
        <v>Côte 3</v>
      </c>
      <c r="D1" s="3" t="str">
        <f>IF(ISBLANK(C2),"","Côte 4")</f>
        <v>Côte 4</v>
      </c>
      <c r="E1" s="3" t="str">
        <f>IF(ISBLANK(D2),"","Côte 5")</f>
        <v>Côte 5</v>
      </c>
      <c r="F1" s="3" t="str">
        <f>IF(ISBLANK(E2),"","Côte 6")</f>
        <v/>
      </c>
      <c r="G1" s="3" t="str">
        <f>IF(ISBLANK(F2),"","Côte 7")</f>
        <v/>
      </c>
      <c r="H1" s="3" t="str">
        <f>IF(ISBLANK(G2),"","Côte 8")</f>
        <v/>
      </c>
      <c r="I1" s="3" t="str">
        <f>IF(ISBLANK(H2),"","Côte 9")</f>
        <v/>
      </c>
      <c r="J1" s="3" t="str">
        <f>IF(ISBLANK(I2),"","Côte 10")</f>
        <v/>
      </c>
      <c r="K1" s="3" t="str">
        <f>IF(ISBLANK(J2),"","Côte 11")</f>
        <v/>
      </c>
      <c r="L1" s="3" t="str">
        <f>IF(ISBLANK(K2),"","Côte 12")</f>
        <v/>
      </c>
      <c r="M1" s="3" t="str">
        <f>IF(ISBLANK(L2),"","Côte 13")</f>
        <v/>
      </c>
      <c r="N1" s="3" t="str">
        <f>IF(ISBLANK(M2),"","Côte 14")</f>
        <v/>
      </c>
      <c r="O1" s="3" t="str">
        <f>IF(ISBLANK(N2),"","Côte 15")</f>
        <v/>
      </c>
      <c r="P1" s="3" t="str">
        <f>IF(ISBLANK(O2),"","Côte 16")</f>
        <v/>
      </c>
      <c r="Q1" s="3" t="str">
        <f>IF(ISBLANK(P2),"","Côte 17")</f>
        <v/>
      </c>
      <c r="R1" s="3" t="str">
        <f>IF(ISBLANK(Q2),"","Côte 18")</f>
        <v/>
      </c>
      <c r="S1" s="3" t="str">
        <f>IF(ISBLANK(R2),"","Côte 19")</f>
        <v/>
      </c>
      <c r="T1" s="3" t="str">
        <f>IF(ISBLANK(S2),"","Côte 20")</f>
        <v/>
      </c>
      <c r="U1" s="3" t="str">
        <f>IF(ISBLANK(T2),"","Côte 21")</f>
        <v/>
      </c>
      <c r="V1" s="3" t="str">
        <f>IF(ISBLANK(U2),"","Côte 22")</f>
        <v/>
      </c>
      <c r="W1" s="3" t="str">
        <f>IF(ISBLANK(V2),"","Côte 23")</f>
        <v/>
      </c>
      <c r="X1" s="3" t="str">
        <f>IF(ISBLANK(W2),"","Côte 24")</f>
        <v/>
      </c>
      <c r="Y1" s="3" t="str">
        <f>IF(ISBLANK(X2),"","Côte 25")</f>
        <v/>
      </c>
      <c r="Z1" s="3" t="str">
        <f>IF(ISBLANK(Y2),"","Côte 26")</f>
        <v/>
      </c>
      <c r="AA1" s="3"/>
    </row>
    <row r="2" spans="1:27" s="13" customFormat="1" ht="25.5" customHeight="1" x14ac:dyDescent="0.2">
      <c r="A2" s="66">
        <v>2.25</v>
      </c>
      <c r="B2" s="66">
        <v>4.5999999999999996</v>
      </c>
      <c r="C2" s="66">
        <v>6.75</v>
      </c>
      <c r="D2" s="66">
        <v>7.6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</row>
    <row r="3" spans="1:27" ht="25.5" customHeight="1" x14ac:dyDescent="0.2">
      <c r="A3" s="2" t="s">
        <v>2</v>
      </c>
      <c r="B3" s="2" t="s">
        <v>3</v>
      </c>
      <c r="C3" s="3" t="str">
        <f>IF(ISBLANK(C2),"","Mise 3")</f>
        <v>Mise 3</v>
      </c>
      <c r="D3" s="3" t="str">
        <f>IF(ISBLANK(D2),"","Mise 4")</f>
        <v>Mise 4</v>
      </c>
      <c r="E3" s="3" t="str">
        <f>IF(ISBLANK(E2),"","Mise 5")</f>
        <v/>
      </c>
      <c r="F3" s="3" t="str">
        <f>IF(ISBLANK(F2),"","Mise 6")</f>
        <v/>
      </c>
      <c r="G3" s="3" t="str">
        <f>IF(ISBLANK(G2),"","Mise 7")</f>
        <v/>
      </c>
      <c r="H3" s="3" t="str">
        <f>IF(ISBLANK(H2),"","Mise 8")</f>
        <v/>
      </c>
      <c r="I3" s="3" t="str">
        <f>IF(ISBLANK(I2),"","Mise 9")</f>
        <v/>
      </c>
      <c r="J3" s="3" t="str">
        <f>IF(ISBLANK(J2),"","Mise 10")</f>
        <v/>
      </c>
      <c r="K3" s="3" t="str">
        <f>IF(ISBLANK(K2),"","Mise 11")</f>
        <v/>
      </c>
      <c r="L3" s="3" t="str">
        <f>IF(ISBLANK(L2),"","Mise 12")</f>
        <v/>
      </c>
      <c r="M3" s="3" t="str">
        <f>IF(ISBLANK(M2),"","Mise 13")</f>
        <v/>
      </c>
      <c r="N3" s="3" t="str">
        <f>IF(ISBLANK(N2),"","Mise 14")</f>
        <v/>
      </c>
      <c r="O3" s="3" t="str">
        <f>IF(ISBLANK(O2),"","Mise 15")</f>
        <v/>
      </c>
      <c r="P3" s="3" t="str">
        <f>IF(ISBLANK(P2),"","Mise 16")</f>
        <v/>
      </c>
      <c r="Q3" s="3" t="str">
        <f>IF(ISBLANK(Q2),"","Mise 17")</f>
        <v/>
      </c>
      <c r="R3" s="3" t="str">
        <f>IF(ISBLANK(R2),"","Mise 18")</f>
        <v/>
      </c>
      <c r="S3" s="3" t="str">
        <f>IF(ISBLANK(S2),"","Mise 19")</f>
        <v/>
      </c>
      <c r="T3" s="3" t="str">
        <f>IF(ISBLANK(T2),"","Mise 20")</f>
        <v/>
      </c>
      <c r="U3" s="3" t="str">
        <f>IF(ISBLANK(U2),"","Mise 21")</f>
        <v/>
      </c>
      <c r="V3" s="3" t="str">
        <f>IF(ISBLANK(V2),"","Mise 22")</f>
        <v/>
      </c>
      <c r="W3" s="3" t="str">
        <f>IF(ISBLANK(W2),"","Mise 23")</f>
        <v/>
      </c>
      <c r="X3" s="3" t="str">
        <f>IF(ISBLANK(X2),"","Mise 24")</f>
        <v/>
      </c>
      <c r="Y3" s="3" t="str">
        <f>IF(ISBLANK(Y2),"","Mise 25")</f>
        <v/>
      </c>
      <c r="Z3" s="3" t="str">
        <f>IF(ISBLANK(Z2),"","Mise 26")</f>
        <v/>
      </c>
      <c r="AA3" s="3"/>
    </row>
    <row r="4" spans="1:27" ht="25.5" customHeight="1" x14ac:dyDescent="0.2">
      <c r="A4" s="6">
        <v>20</v>
      </c>
      <c r="B4" s="7">
        <f t="shared" ref="B4:Z4" si="0">IF(ISBLANK($A4),"", IF(ISBLANK(B2),"",$A2*$A4/B2))</f>
        <v>9.7826086956521738</v>
      </c>
      <c r="C4" s="7">
        <f>IF(ISBLANK($A4),"", IF(ISBLANK(C2),"",$A2*$A4/C2))</f>
        <v>6.666666666666667</v>
      </c>
      <c r="D4" s="7">
        <f>IF(ISBLANK($A4),"", IF(ISBLANK(D2),"",$A2*$A4/D2))</f>
        <v>5.9210526315789478</v>
      </c>
      <c r="E4" s="7" t="str">
        <f t="shared" si="0"/>
        <v/>
      </c>
      <c r="F4" s="7" t="str">
        <f t="shared" si="0"/>
        <v/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K4" s="7" t="str">
        <f t="shared" si="0"/>
        <v/>
      </c>
      <c r="L4" s="7" t="str">
        <f t="shared" si="0"/>
        <v/>
      </c>
      <c r="M4" s="7" t="str">
        <f t="shared" si="0"/>
        <v/>
      </c>
      <c r="N4" s="7" t="str">
        <f t="shared" si="0"/>
        <v/>
      </c>
      <c r="O4" s="7" t="str">
        <f t="shared" si="0"/>
        <v/>
      </c>
      <c r="P4" s="7" t="str">
        <f t="shared" si="0"/>
        <v/>
      </c>
      <c r="Q4" s="7" t="str">
        <f t="shared" si="0"/>
        <v/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/>
    </row>
    <row r="5" spans="1:27" ht="25.5" customHeight="1" x14ac:dyDescent="0.2">
      <c r="A5" s="2" t="s">
        <v>4</v>
      </c>
      <c r="B5" s="8" t="s">
        <v>5</v>
      </c>
      <c r="C5" s="8" t="s">
        <v>6</v>
      </c>
      <c r="D5" s="9"/>
      <c r="E5" s="16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7" ht="25.5" customHeight="1" x14ac:dyDescent="0.2">
      <c r="A6" s="7">
        <f>IF(ISBLANK(A4),"", A2*A4-SUM(A4:Z4))</f>
        <v>2.6296720061022185</v>
      </c>
      <c r="B6" s="10">
        <f>IF(ISBLANK(B2),"",A2/(1+A2/B2+(IF(ISBLANK(C2),0,A2/C2)+(IF(ISBLANK(D2),0,A2/D2)+(IF(ISBLANK(E2),0,A2/E2)+(IF(ISBLANK(F2),0,A2/F2)+(IF(ISBLANK(G2),0,A2/G2)+(IF(ISBLANK(H2),0,A2/H2)+(IF(ISBLANK(I2),0,A2/I2)+(IF(ISBLANK(J2),0,A2/J2)+(IF(ISBLANK(K2),0,A2/K2)+(IF(ISBLANK(L2),0,A2/L2)+(IF(ISBLANK(M2),0,A2/M2)+(IF(ISBLANK(N2),0,A2/N2)+(IF(ISBLANK(O2),0,A2/O2)+(IF(ISBLANK(P2),0,A2/P2)+(IF(ISBLANK(Q2),0,A2/Q2)+(IF(ISBLANK(R2),0,A2/R2)+(IF(ISBLANK(S2),0,A2/S2)+(IF(ISBLANK(T2),0,A2/T2)+(IF(ISBLANK(U2),0,A2/U2)+(IF(ISBLANK(V2),0,A2/V2)+(IF(ISBLANK(W2),0,A2/W2)+(IF(ISBLANK(X2),0,A2/X2)+(IF(ISBLANK(Y2),0,A2/Y2)+(IF(ISBLANK(Z2),0,A2/Z2)))))))))))))))))))))))))))</f>
        <v>1.0620639992798955</v>
      </c>
      <c r="C6" s="1">
        <f>IF(ISBLANK(A4),"",SUM(A4:Z4))</f>
        <v>42.370327993897781</v>
      </c>
      <c r="D6" s="9"/>
      <c r="E6" s="11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7" ht="25.5" customHeight="1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7" ht="25.5" customHeight="1" x14ac:dyDescent="0.2">
      <c r="A8" s="9"/>
      <c r="B8" s="9"/>
      <c r="C8" s="9"/>
      <c r="D8" s="14"/>
      <c r="E8" s="14"/>
      <c r="F8" s="16"/>
      <c r="G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7" ht="25.5" customHeight="1" x14ac:dyDescent="0.2">
      <c r="A9" s="9"/>
      <c r="B9" s="9"/>
      <c r="C9" s="9"/>
      <c r="D9" s="16"/>
      <c r="E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7" ht="25.5" customHeight="1" x14ac:dyDescent="0.2">
      <c r="A10" s="9"/>
      <c r="B10" s="67"/>
      <c r="C10" s="67"/>
      <c r="D10" s="67"/>
      <c r="E10" s="67"/>
      <c r="F10" s="67"/>
      <c r="G10" s="15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7" ht="25.5" customHeight="1" x14ac:dyDescent="0.2">
      <c r="A11" s="15"/>
      <c r="B11" s="7"/>
      <c r="C11" s="81"/>
      <c r="F11" s="9"/>
      <c r="H11" s="15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7" ht="25.5" customHeight="1" x14ac:dyDescent="0.2">
      <c r="A12" s="9"/>
      <c r="B12" s="48"/>
      <c r="C12" s="16"/>
      <c r="F12" s="67"/>
      <c r="H12" s="68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7" ht="25.5" customHeight="1" x14ac:dyDescent="0.2">
      <c r="A13" s="9"/>
      <c r="B13" s="67"/>
      <c r="C13" s="15"/>
      <c r="E13" s="9"/>
      <c r="F13" s="15"/>
      <c r="G13" s="15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7" ht="25.5" customHeight="1" x14ac:dyDescent="0.2">
      <c r="A14" s="9"/>
      <c r="B14" s="67"/>
      <c r="D14" s="9"/>
      <c r="E14" s="66"/>
      <c r="F14" s="66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7" ht="25.5" customHeight="1" x14ac:dyDescent="0.2">
      <c r="A15" s="9"/>
      <c r="B15" s="9"/>
      <c r="C15" s="9"/>
      <c r="D15" s="15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7" ht="25.5" customHeight="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25.5" customHeight="1" x14ac:dyDescent="0.2">
      <c r="A17" s="9"/>
      <c r="B17" s="9"/>
      <c r="C17" s="9"/>
      <c r="D17" s="15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25.5" customHeight="1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25.5" customHeight="1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25.5" customHeight="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25.5" customHeight="1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25.5" customHeight="1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25.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25.5" customHeight="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25.5" customHeight="1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25.5" customHeight="1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25.5" customHeight="1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25.5" customHeight="1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25.5" customHeight="1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25.5" customHeight="1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25.5" customHeight="1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25.5" customHeight="1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25.5" customHeight="1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25.5" customHeight="1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25.5" customHeight="1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25.5" customHeight="1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25.5" customHeight="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25.5" customHeight="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25.5" customHeight="1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25.5" customHeight="1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25.5" customHeight="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25.5" customHeigh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25.5" customHeight="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25.5" customHeight="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25.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25.5" customHeigh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25.5" customHeigh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25.5" customHeight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25.5" customHeigh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25.5" customHeight="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25.5" customHeight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25.5" customHeight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25.5" customHeight="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25.5" customHeight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25.5" customHeight="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25.5" customHeight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25.5" customHeight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25.5" customHeight="1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25.5" customHeight="1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25.5" customHeight="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25.5" customHeight="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25.5" customHeight="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25.5" customHeight="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25.5" customHeight="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25.5" customHeight="1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25.5" customHeight="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25.5" customHeight="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25.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25.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25.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25.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25.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25.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25.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25.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25.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25.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25.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25.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25.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25.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25.5" customHeigh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25.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25.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25.5" customHeigh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25.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25.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25.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25.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25.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25.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25.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25.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25.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25.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25.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25.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25.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25.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25.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25.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25.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25.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25.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25.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25.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25.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25.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25.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25.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25.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25.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25.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25.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25.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25.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25.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25.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25.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25.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25.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25.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25.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25.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25.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25.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25.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25.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25.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25.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25.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25.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25.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25.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25.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25.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25.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25.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25.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25.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25.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25.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25.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25.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25.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25.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25.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25.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25.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25.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25.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25.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25.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25.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25.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25.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25.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25.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25.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25.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25.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25.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25.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25.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25.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25.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25.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25.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25.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25.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25.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25.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25.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25.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25.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25.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25.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25.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25.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25.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25.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25.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25.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25.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25.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25.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25.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25.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25.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25.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25.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25.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25.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25.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25.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25.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25.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25.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25.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25.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25.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25.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25.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25.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25.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25.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25.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25.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25.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25.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25.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25.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25.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25.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25.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25.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25.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25.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25.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25.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25.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25.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25.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25.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25.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25.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25.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25.5" customHeight="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25.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25.5" customHeight="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25.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25.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25.5" customHeight="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25.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25.5" customHeight="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25.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25.5" customHeight="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25.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25.5" customHeight="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25.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25.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25.5" customHeight="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25.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25.5" customHeight="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25.5" customHeight="1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25.5" customHeight="1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25.5" customHeight="1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25.5" customHeight="1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25.5" customHeight="1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25.5" customHeight="1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25.5" customHeight="1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25.5" customHeight="1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25.5" customHeight="1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25.5" customHeight="1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25.5" customHeight="1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25.5" customHeight="1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25.5" customHeight="1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25.5" customHeight="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25.5" customHeight="1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25.5" customHeight="1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25.5" customHeight="1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25.5" customHeight="1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25.5" customHeight="1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25.5" customHeight="1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25.5" customHeight="1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25.5" customHeight="1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25.5" customHeight="1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25.5" customHeight="1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25.5" customHeight="1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25.5" customHeight="1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25.5" customHeight="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25.5" customHeight="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25.5" customHeight="1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25.5" customHeight="1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25.5" customHeight="1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25.5" customHeight="1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25.5" customHeight="1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25.5" customHeight="1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25.5" customHeight="1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25.5" customHeight="1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25.5" customHeight="1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25.5" customHeight="1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25.5" customHeight="1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25.5" customHeight="1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25.5" customHeight="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25.5" customHeight="1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25.5" customHeight="1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25.5" customHeight="1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25.5" customHeight="1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25.5" customHeight="1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25.5" customHeight="1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25.5" customHeight="1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25.5" customHeight="1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25.5" customHeight="1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25.5" customHeight="1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25.5" customHeight="1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25.5" customHeight="1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25.5" customHeight="1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25.5" customHeight="1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25.5" customHeight="1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25.5" customHeight="1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25.5" customHeight="1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25.5" customHeight="1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25.5" customHeight="1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25.5" customHeight="1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25.5" customHeight="1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25.5" customHeight="1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25.5" customHeight="1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25.5" customHeight="1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25.5" customHeight="1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25.5" customHeight="1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25.5" customHeight="1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25.5" customHeight="1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25.5" customHeight="1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25.5" customHeight="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25.5" customHeight="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25.5" customHeight="1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25.5" customHeight="1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25.5" customHeight="1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25.5" customHeight="1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25.5" customHeight="1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25.5" customHeight="1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25.5" customHeight="1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25.5" customHeight="1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25.5" customHeight="1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25.5" customHeight="1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25.5" customHeight="1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25.5" customHeight="1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25.5" customHeight="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25.5" customHeight="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25.5" customHeight="1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25.5" customHeight="1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25.5" customHeight="1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25.5" customHeight="1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25.5" customHeight="1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25.5" customHeight="1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25.5" customHeight="1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25.5" customHeight="1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25.5" customHeight="1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25.5" customHeight="1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25.5" customHeight="1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25.5" customHeight="1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25.5" customHeight="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25.5" customHeight="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25.5" customHeight="1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25.5" customHeight="1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25.5" customHeight="1" x14ac:dyDescent="0.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25.5" customHeight="1" x14ac:dyDescent="0.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25.5" customHeight="1" x14ac:dyDescent="0.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25.5" customHeight="1" x14ac:dyDescent="0.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25.5" customHeight="1" x14ac:dyDescent="0.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25.5" customHeight="1" x14ac:dyDescent="0.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25.5" customHeight="1" x14ac:dyDescent="0.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25.5" customHeight="1" x14ac:dyDescent="0.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25.5" customHeight="1" x14ac:dyDescent="0.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25.5" customHeight="1" x14ac:dyDescent="0.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25.5" customHeight="1" x14ac:dyDescent="0.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25.5" customHeight="1" x14ac:dyDescent="0.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25.5" customHeight="1" x14ac:dyDescent="0.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25.5" customHeight="1" x14ac:dyDescent="0.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25.5" customHeight="1" x14ac:dyDescent="0.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25.5" customHeight="1" x14ac:dyDescent="0.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25.5" customHeight="1" x14ac:dyDescent="0.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25.5" customHeight="1" x14ac:dyDescent="0.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25.5" customHeight="1" x14ac:dyDescent="0.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25.5" customHeight="1" x14ac:dyDescent="0.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25.5" customHeight="1" x14ac:dyDescent="0.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25.5" customHeight="1" x14ac:dyDescent="0.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25.5" customHeight="1" x14ac:dyDescent="0.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25.5" customHeight="1" x14ac:dyDescent="0.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25.5" customHeight="1" x14ac:dyDescent="0.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25.5" customHeight="1" x14ac:dyDescent="0.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25.5" customHeight="1" x14ac:dyDescent="0.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25.5" customHeight="1" x14ac:dyDescent="0.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25.5" customHeight="1" x14ac:dyDescent="0.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25.5" customHeight="1" x14ac:dyDescent="0.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25.5" customHeight="1" x14ac:dyDescent="0.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25.5" customHeight="1" x14ac:dyDescent="0.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25.5" customHeight="1" x14ac:dyDescent="0.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25.5" customHeight="1" x14ac:dyDescent="0.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25.5" customHeight="1" x14ac:dyDescent="0.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25.5" customHeight="1" x14ac:dyDescent="0.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25.5" customHeight="1" x14ac:dyDescent="0.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25.5" customHeight="1" x14ac:dyDescent="0.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25.5" customHeight="1" x14ac:dyDescent="0.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25.5" customHeight="1" x14ac:dyDescent="0.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25.5" customHeight="1" x14ac:dyDescent="0.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25.5" customHeight="1" x14ac:dyDescent="0.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25.5" customHeight="1" x14ac:dyDescent="0.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25.5" customHeight="1" x14ac:dyDescent="0.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25.5" customHeight="1" x14ac:dyDescent="0.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25.5" customHeight="1" x14ac:dyDescent="0.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25.5" customHeight="1" x14ac:dyDescent="0.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25.5" customHeight="1" x14ac:dyDescent="0.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25.5" customHeight="1" x14ac:dyDescent="0.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25.5" customHeight="1" x14ac:dyDescent="0.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25.5" customHeight="1" x14ac:dyDescent="0.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25.5" customHeight="1" x14ac:dyDescent="0.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25.5" customHeight="1" x14ac:dyDescent="0.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25.5" customHeight="1" x14ac:dyDescent="0.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25.5" customHeight="1" x14ac:dyDescent="0.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25.5" customHeight="1" x14ac:dyDescent="0.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25.5" customHeight="1" x14ac:dyDescent="0.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25.5" customHeight="1" x14ac:dyDescent="0.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25.5" customHeight="1" x14ac:dyDescent="0.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25.5" customHeight="1" x14ac:dyDescent="0.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25.5" customHeight="1" x14ac:dyDescent="0.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25.5" customHeight="1" x14ac:dyDescent="0.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25.5" customHeight="1" x14ac:dyDescent="0.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25.5" customHeight="1" x14ac:dyDescent="0.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25.5" customHeight="1" x14ac:dyDescent="0.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25.5" customHeight="1" x14ac:dyDescent="0.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25.5" customHeight="1" x14ac:dyDescent="0.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25.5" customHeight="1" x14ac:dyDescent="0.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25.5" customHeight="1" x14ac:dyDescent="0.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25.5" customHeight="1" x14ac:dyDescent="0.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25.5" customHeight="1" x14ac:dyDescent="0.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25.5" customHeight="1" x14ac:dyDescent="0.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25.5" customHeight="1" x14ac:dyDescent="0.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25.5" customHeight="1" x14ac:dyDescent="0.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25.5" customHeight="1" x14ac:dyDescent="0.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25.5" customHeight="1" x14ac:dyDescent="0.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25.5" customHeight="1" x14ac:dyDescent="0.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25.5" customHeight="1" x14ac:dyDescent="0.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25.5" customHeight="1" x14ac:dyDescent="0.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25.5" customHeight="1" x14ac:dyDescent="0.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25.5" customHeight="1" x14ac:dyDescent="0.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25.5" customHeight="1" x14ac:dyDescent="0.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25.5" customHeight="1" x14ac:dyDescent="0.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25.5" customHeight="1" x14ac:dyDescent="0.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25.5" customHeight="1" x14ac:dyDescent="0.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25.5" customHeight="1" x14ac:dyDescent="0.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25.5" customHeight="1" x14ac:dyDescent="0.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25.5" customHeight="1" x14ac:dyDescent="0.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25.5" customHeight="1" x14ac:dyDescent="0.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25.5" customHeight="1" x14ac:dyDescent="0.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25.5" customHeight="1" x14ac:dyDescent="0.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25.5" customHeight="1" x14ac:dyDescent="0.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25.5" customHeight="1" x14ac:dyDescent="0.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25.5" customHeight="1" x14ac:dyDescent="0.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25.5" customHeight="1" x14ac:dyDescent="0.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25.5" customHeight="1" x14ac:dyDescent="0.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25.5" customHeight="1" x14ac:dyDescent="0.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25.5" customHeight="1" x14ac:dyDescent="0.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25.5" customHeight="1" x14ac:dyDescent="0.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25.5" customHeight="1" x14ac:dyDescent="0.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25.5" customHeight="1" x14ac:dyDescent="0.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25.5" customHeight="1" x14ac:dyDescent="0.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25.5" customHeight="1" x14ac:dyDescent="0.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25.5" customHeight="1" x14ac:dyDescent="0.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25.5" customHeight="1" x14ac:dyDescent="0.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25.5" customHeight="1" x14ac:dyDescent="0.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25.5" customHeight="1" x14ac:dyDescent="0.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25.5" customHeight="1" x14ac:dyDescent="0.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25.5" customHeight="1" x14ac:dyDescent="0.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25.5" customHeight="1" x14ac:dyDescent="0.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25.5" customHeight="1" x14ac:dyDescent="0.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25.5" customHeight="1" x14ac:dyDescent="0.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25.5" customHeight="1" x14ac:dyDescent="0.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25.5" customHeight="1" x14ac:dyDescent="0.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25.5" customHeight="1" x14ac:dyDescent="0.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25.5" customHeight="1" x14ac:dyDescent="0.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25.5" customHeight="1" x14ac:dyDescent="0.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25.5" customHeight="1" x14ac:dyDescent="0.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25.5" customHeight="1" x14ac:dyDescent="0.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25.5" customHeight="1" x14ac:dyDescent="0.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25.5" customHeight="1" x14ac:dyDescent="0.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25.5" customHeight="1" x14ac:dyDescent="0.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25.5" customHeight="1" x14ac:dyDescent="0.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25.5" customHeight="1" x14ac:dyDescent="0.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25.5" customHeight="1" x14ac:dyDescent="0.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25.5" customHeight="1" x14ac:dyDescent="0.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25.5" customHeight="1" x14ac:dyDescent="0.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25.5" customHeight="1" x14ac:dyDescent="0.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25.5" customHeight="1" x14ac:dyDescent="0.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25.5" customHeight="1" x14ac:dyDescent="0.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25.5" customHeight="1" x14ac:dyDescent="0.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25.5" customHeight="1" x14ac:dyDescent="0.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25.5" customHeight="1" x14ac:dyDescent="0.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25.5" customHeight="1" x14ac:dyDescent="0.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25.5" customHeight="1" x14ac:dyDescent="0.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25.5" customHeight="1" x14ac:dyDescent="0.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25.5" customHeight="1" x14ac:dyDescent="0.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25.5" customHeight="1" x14ac:dyDescent="0.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25.5" customHeight="1" x14ac:dyDescent="0.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25.5" customHeight="1" x14ac:dyDescent="0.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25.5" customHeight="1" x14ac:dyDescent="0.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25.5" customHeight="1" x14ac:dyDescent="0.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25.5" customHeight="1" x14ac:dyDescent="0.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25.5" customHeight="1" x14ac:dyDescent="0.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25.5" customHeight="1" x14ac:dyDescent="0.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25.5" customHeight="1" x14ac:dyDescent="0.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25.5" customHeight="1" x14ac:dyDescent="0.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25.5" customHeight="1" x14ac:dyDescent="0.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25.5" customHeight="1" x14ac:dyDescent="0.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25.5" customHeight="1" x14ac:dyDescent="0.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25.5" customHeight="1" x14ac:dyDescent="0.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25.5" customHeight="1" x14ac:dyDescent="0.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25.5" customHeight="1" x14ac:dyDescent="0.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25.5" customHeight="1" x14ac:dyDescent="0.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25.5" customHeight="1" x14ac:dyDescent="0.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25.5" customHeight="1" x14ac:dyDescent="0.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25.5" customHeight="1" x14ac:dyDescent="0.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25.5" customHeight="1" x14ac:dyDescent="0.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25.5" customHeight="1" x14ac:dyDescent="0.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25.5" customHeight="1" x14ac:dyDescent="0.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25.5" customHeight="1" x14ac:dyDescent="0.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25.5" customHeight="1" x14ac:dyDescent="0.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25.5" customHeight="1" x14ac:dyDescent="0.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25.5" customHeight="1" x14ac:dyDescent="0.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25.5" customHeight="1" x14ac:dyDescent="0.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25.5" customHeight="1" x14ac:dyDescent="0.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25.5" customHeight="1" x14ac:dyDescent="0.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25.5" customHeight="1" x14ac:dyDescent="0.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25.5" customHeight="1" x14ac:dyDescent="0.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25.5" customHeight="1" x14ac:dyDescent="0.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25.5" customHeight="1" x14ac:dyDescent="0.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25.5" customHeight="1" x14ac:dyDescent="0.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25.5" customHeight="1" x14ac:dyDescent="0.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25.5" customHeight="1" x14ac:dyDescent="0.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25.5" customHeight="1" x14ac:dyDescent="0.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25.5" customHeight="1" x14ac:dyDescent="0.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25.5" customHeight="1" x14ac:dyDescent="0.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25.5" customHeight="1" x14ac:dyDescent="0.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25.5" customHeight="1" x14ac:dyDescent="0.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25.5" customHeight="1" x14ac:dyDescent="0.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25.5" customHeight="1" x14ac:dyDescent="0.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25.5" customHeight="1" x14ac:dyDescent="0.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25.5" customHeight="1" x14ac:dyDescent="0.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25.5" customHeight="1" x14ac:dyDescent="0.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25.5" customHeight="1" x14ac:dyDescent="0.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25.5" customHeight="1" x14ac:dyDescent="0.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25.5" customHeight="1" x14ac:dyDescent="0.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25.5" customHeight="1" x14ac:dyDescent="0.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25.5" customHeight="1" x14ac:dyDescent="0.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25.5" customHeight="1" x14ac:dyDescent="0.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25.5" customHeight="1" x14ac:dyDescent="0.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25.5" customHeight="1" x14ac:dyDescent="0.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25.5" customHeight="1" x14ac:dyDescent="0.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25.5" customHeight="1" x14ac:dyDescent="0.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25.5" customHeight="1" x14ac:dyDescent="0.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25.5" customHeight="1" x14ac:dyDescent="0.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25.5" customHeight="1" x14ac:dyDescent="0.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25.5" customHeight="1" x14ac:dyDescent="0.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25.5" customHeight="1" x14ac:dyDescent="0.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25.5" customHeight="1" x14ac:dyDescent="0.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25.5" customHeight="1" x14ac:dyDescent="0.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25.5" customHeight="1" x14ac:dyDescent="0.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25.5" customHeight="1" x14ac:dyDescent="0.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25.5" customHeight="1" x14ac:dyDescent="0.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25.5" customHeight="1" x14ac:dyDescent="0.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25.5" customHeight="1" x14ac:dyDescent="0.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25.5" customHeight="1" x14ac:dyDescent="0.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25.5" customHeight="1" x14ac:dyDescent="0.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25.5" customHeight="1" x14ac:dyDescent="0.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25.5" customHeight="1" x14ac:dyDescent="0.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25.5" customHeight="1" x14ac:dyDescent="0.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25.5" customHeight="1" x14ac:dyDescent="0.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25.5" customHeight="1" x14ac:dyDescent="0.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25.5" customHeight="1" x14ac:dyDescent="0.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25.5" customHeight="1" x14ac:dyDescent="0.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25.5" customHeight="1" x14ac:dyDescent="0.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25.5" customHeight="1" x14ac:dyDescent="0.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25.5" customHeight="1" x14ac:dyDescent="0.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25.5" customHeight="1" x14ac:dyDescent="0.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25.5" customHeight="1" x14ac:dyDescent="0.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25.5" customHeight="1" x14ac:dyDescent="0.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25.5" customHeight="1" x14ac:dyDescent="0.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25.5" customHeight="1" x14ac:dyDescent="0.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25.5" customHeight="1" x14ac:dyDescent="0.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25.5" customHeight="1" x14ac:dyDescent="0.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25.5" customHeight="1" x14ac:dyDescent="0.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25.5" customHeight="1" x14ac:dyDescent="0.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25.5" customHeight="1" x14ac:dyDescent="0.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25.5" customHeight="1" x14ac:dyDescent="0.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25.5" customHeight="1" x14ac:dyDescent="0.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25.5" customHeight="1" x14ac:dyDescent="0.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25.5" customHeight="1" x14ac:dyDescent="0.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25.5" customHeight="1" x14ac:dyDescent="0.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25.5" customHeight="1" x14ac:dyDescent="0.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25.5" customHeight="1" x14ac:dyDescent="0.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25.5" customHeight="1" x14ac:dyDescent="0.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25.5" customHeight="1" x14ac:dyDescent="0.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25.5" customHeight="1" x14ac:dyDescent="0.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25.5" customHeight="1" x14ac:dyDescent="0.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25.5" customHeight="1" x14ac:dyDescent="0.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25.5" customHeight="1" x14ac:dyDescent="0.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25.5" customHeight="1" x14ac:dyDescent="0.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25.5" customHeight="1" x14ac:dyDescent="0.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25.5" customHeight="1" x14ac:dyDescent="0.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25.5" customHeight="1" x14ac:dyDescent="0.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25.5" customHeight="1" x14ac:dyDescent="0.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25.5" customHeight="1" x14ac:dyDescent="0.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25.5" customHeight="1" x14ac:dyDescent="0.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25.5" customHeight="1" x14ac:dyDescent="0.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25.5" customHeight="1" x14ac:dyDescent="0.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25.5" customHeight="1" x14ac:dyDescent="0.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25.5" customHeight="1" x14ac:dyDescent="0.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25.5" customHeight="1" x14ac:dyDescent="0.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25.5" customHeight="1" x14ac:dyDescent="0.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25.5" customHeight="1" x14ac:dyDescent="0.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25.5" customHeight="1" x14ac:dyDescent="0.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25.5" customHeight="1" x14ac:dyDescent="0.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25.5" customHeight="1" x14ac:dyDescent="0.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25.5" customHeight="1" x14ac:dyDescent="0.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25.5" customHeight="1" x14ac:dyDescent="0.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25.5" customHeight="1" x14ac:dyDescent="0.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25.5" customHeight="1" x14ac:dyDescent="0.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25.5" customHeight="1" x14ac:dyDescent="0.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25.5" customHeight="1" x14ac:dyDescent="0.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25.5" customHeight="1" x14ac:dyDescent="0.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25.5" customHeight="1" x14ac:dyDescent="0.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25.5" customHeight="1" x14ac:dyDescent="0.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25.5" customHeight="1" x14ac:dyDescent="0.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25.5" customHeight="1" x14ac:dyDescent="0.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25.5" customHeight="1" x14ac:dyDescent="0.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25.5" customHeight="1" x14ac:dyDescent="0.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25.5" customHeight="1" x14ac:dyDescent="0.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25.5" customHeight="1" x14ac:dyDescent="0.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25.5" customHeight="1" x14ac:dyDescent="0.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25.5" customHeight="1" x14ac:dyDescent="0.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25.5" customHeight="1" x14ac:dyDescent="0.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25.5" customHeight="1" x14ac:dyDescent="0.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25.5" customHeight="1" x14ac:dyDescent="0.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25.5" customHeight="1" x14ac:dyDescent="0.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25.5" customHeight="1" x14ac:dyDescent="0.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25.5" customHeight="1" x14ac:dyDescent="0.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25.5" customHeight="1" x14ac:dyDescent="0.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25.5" customHeight="1" x14ac:dyDescent="0.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25.5" customHeight="1" x14ac:dyDescent="0.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25.5" customHeight="1" x14ac:dyDescent="0.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25.5" customHeight="1" x14ac:dyDescent="0.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25.5" customHeight="1" x14ac:dyDescent="0.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25.5" customHeight="1" x14ac:dyDescent="0.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25.5" customHeight="1" x14ac:dyDescent="0.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25.5" customHeight="1" x14ac:dyDescent="0.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25.5" customHeight="1" x14ac:dyDescent="0.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25.5" customHeight="1" x14ac:dyDescent="0.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25.5" customHeight="1" x14ac:dyDescent="0.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25.5" customHeight="1" x14ac:dyDescent="0.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25.5" customHeight="1" x14ac:dyDescent="0.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25.5" customHeight="1" x14ac:dyDescent="0.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25.5" customHeight="1" x14ac:dyDescent="0.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25.5" customHeight="1" x14ac:dyDescent="0.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25.5" customHeight="1" x14ac:dyDescent="0.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25.5" customHeight="1" x14ac:dyDescent="0.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25.5" customHeight="1" x14ac:dyDescent="0.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25.5" customHeight="1" x14ac:dyDescent="0.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25.5" customHeight="1" x14ac:dyDescent="0.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25.5" customHeight="1" x14ac:dyDescent="0.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25.5" customHeight="1" x14ac:dyDescent="0.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25.5" customHeight="1" x14ac:dyDescent="0.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25.5" customHeight="1" x14ac:dyDescent="0.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25.5" customHeight="1" x14ac:dyDescent="0.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25.5" customHeight="1" x14ac:dyDescent="0.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25.5" customHeight="1" x14ac:dyDescent="0.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25.5" customHeight="1" x14ac:dyDescent="0.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25.5" customHeight="1" x14ac:dyDescent="0.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25.5" customHeight="1" x14ac:dyDescent="0.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25.5" customHeight="1" x14ac:dyDescent="0.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25.5" customHeight="1" x14ac:dyDescent="0.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25.5" customHeight="1" x14ac:dyDescent="0.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25.5" customHeight="1" x14ac:dyDescent="0.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25.5" customHeight="1" x14ac:dyDescent="0.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25.5" customHeight="1" x14ac:dyDescent="0.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25.5" customHeight="1" x14ac:dyDescent="0.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25.5" customHeight="1" x14ac:dyDescent="0.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25.5" customHeight="1" x14ac:dyDescent="0.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25.5" customHeight="1" x14ac:dyDescent="0.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25.5" customHeight="1" x14ac:dyDescent="0.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25.5" customHeight="1" x14ac:dyDescent="0.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25.5" customHeight="1" x14ac:dyDescent="0.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25.5" customHeight="1" x14ac:dyDescent="0.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25.5" customHeight="1" x14ac:dyDescent="0.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25.5" customHeight="1" x14ac:dyDescent="0.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25.5" customHeight="1" x14ac:dyDescent="0.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25.5" customHeight="1" x14ac:dyDescent="0.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25.5" customHeight="1" x14ac:dyDescent="0.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25.5" customHeight="1" x14ac:dyDescent="0.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25.5" customHeight="1" x14ac:dyDescent="0.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25.5" customHeight="1" x14ac:dyDescent="0.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25.5" customHeight="1" x14ac:dyDescent="0.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25.5" customHeight="1" x14ac:dyDescent="0.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25.5" customHeight="1" x14ac:dyDescent="0.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25.5" customHeight="1" x14ac:dyDescent="0.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25.5" customHeight="1" x14ac:dyDescent="0.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25.5" customHeight="1" x14ac:dyDescent="0.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25.5" customHeight="1" x14ac:dyDescent="0.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25.5" customHeight="1" x14ac:dyDescent="0.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25.5" customHeight="1" x14ac:dyDescent="0.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25.5" customHeight="1" x14ac:dyDescent="0.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25.5" customHeight="1" x14ac:dyDescent="0.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25.5" customHeight="1" x14ac:dyDescent="0.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25.5" customHeight="1" x14ac:dyDescent="0.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25.5" customHeight="1" x14ac:dyDescent="0.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25.5" customHeight="1" x14ac:dyDescent="0.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25.5" customHeight="1" x14ac:dyDescent="0.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25.5" customHeight="1" x14ac:dyDescent="0.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25.5" customHeight="1" x14ac:dyDescent="0.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25.5" customHeight="1" x14ac:dyDescent="0.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25.5" customHeight="1" x14ac:dyDescent="0.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25.5" customHeight="1" x14ac:dyDescent="0.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25.5" customHeight="1" x14ac:dyDescent="0.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25.5" customHeight="1" x14ac:dyDescent="0.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25.5" customHeight="1" x14ac:dyDescent="0.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25.5" customHeight="1" x14ac:dyDescent="0.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25.5" customHeight="1" x14ac:dyDescent="0.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25.5" customHeight="1" x14ac:dyDescent="0.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25.5" customHeight="1" x14ac:dyDescent="0.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25.5" customHeight="1" x14ac:dyDescent="0.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25.5" customHeight="1" x14ac:dyDescent="0.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25.5" customHeight="1" x14ac:dyDescent="0.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25.5" customHeight="1" x14ac:dyDescent="0.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25.5" customHeight="1" x14ac:dyDescent="0.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25.5" customHeight="1" x14ac:dyDescent="0.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25.5" customHeight="1" x14ac:dyDescent="0.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25.5" customHeight="1" x14ac:dyDescent="0.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25.5" customHeight="1" x14ac:dyDescent="0.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25.5" customHeight="1" x14ac:dyDescent="0.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25.5" customHeight="1" x14ac:dyDescent="0.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25.5" customHeight="1" x14ac:dyDescent="0.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25.5" customHeight="1" x14ac:dyDescent="0.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25.5" customHeight="1" x14ac:dyDescent="0.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25.5" customHeight="1" x14ac:dyDescent="0.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25.5" customHeight="1" x14ac:dyDescent="0.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25.5" customHeight="1" x14ac:dyDescent="0.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25.5" customHeight="1" x14ac:dyDescent="0.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25.5" customHeight="1" x14ac:dyDescent="0.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25.5" customHeight="1" x14ac:dyDescent="0.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25.5" customHeight="1" x14ac:dyDescent="0.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25.5" customHeight="1" x14ac:dyDescent="0.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25.5" customHeight="1" x14ac:dyDescent="0.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25.5" customHeight="1" x14ac:dyDescent="0.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25.5" customHeight="1" x14ac:dyDescent="0.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25.5" customHeight="1" x14ac:dyDescent="0.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25.5" customHeight="1" x14ac:dyDescent="0.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25.5" customHeight="1" x14ac:dyDescent="0.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25.5" customHeight="1" x14ac:dyDescent="0.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25.5" customHeight="1" x14ac:dyDescent="0.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25.5" customHeight="1" x14ac:dyDescent="0.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25.5" customHeight="1" x14ac:dyDescent="0.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25.5" customHeight="1" x14ac:dyDescent="0.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25.5" customHeight="1" x14ac:dyDescent="0.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25.5" customHeight="1" x14ac:dyDescent="0.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25.5" customHeight="1" x14ac:dyDescent="0.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25.5" customHeight="1" x14ac:dyDescent="0.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25.5" customHeight="1" x14ac:dyDescent="0.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25.5" customHeight="1" x14ac:dyDescent="0.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25.5" customHeight="1" x14ac:dyDescent="0.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25.5" customHeight="1" x14ac:dyDescent="0.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25.5" customHeight="1" x14ac:dyDescent="0.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25.5" customHeight="1" x14ac:dyDescent="0.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25.5" customHeight="1" x14ac:dyDescent="0.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25.5" customHeight="1" x14ac:dyDescent="0.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25.5" customHeight="1" x14ac:dyDescent="0.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25.5" customHeight="1" x14ac:dyDescent="0.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25.5" customHeight="1" x14ac:dyDescent="0.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25.5" customHeight="1" x14ac:dyDescent="0.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25.5" customHeight="1" x14ac:dyDescent="0.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25.5" customHeight="1" x14ac:dyDescent="0.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25.5" customHeight="1" x14ac:dyDescent="0.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25.5" customHeight="1" x14ac:dyDescent="0.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25.5" customHeight="1" x14ac:dyDescent="0.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25.5" customHeight="1" x14ac:dyDescent="0.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25.5" customHeight="1" x14ac:dyDescent="0.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25.5" customHeight="1" x14ac:dyDescent="0.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25.5" customHeight="1" x14ac:dyDescent="0.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25.5" customHeight="1" x14ac:dyDescent="0.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25.5" customHeight="1" x14ac:dyDescent="0.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25.5" customHeight="1" x14ac:dyDescent="0.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25.5" customHeight="1" x14ac:dyDescent="0.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25.5" customHeight="1" x14ac:dyDescent="0.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25.5" customHeight="1" x14ac:dyDescent="0.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25.5" customHeight="1" x14ac:dyDescent="0.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25.5" customHeight="1" x14ac:dyDescent="0.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25.5" customHeight="1" x14ac:dyDescent="0.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25.5" customHeight="1" x14ac:dyDescent="0.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25.5" customHeight="1" x14ac:dyDescent="0.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25.5" customHeight="1" x14ac:dyDescent="0.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25.5" customHeight="1" x14ac:dyDescent="0.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25.5" customHeight="1" x14ac:dyDescent="0.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25.5" customHeight="1" x14ac:dyDescent="0.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25.5" customHeight="1" x14ac:dyDescent="0.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25.5" customHeight="1" x14ac:dyDescent="0.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25.5" customHeight="1" x14ac:dyDescent="0.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25.5" customHeight="1" x14ac:dyDescent="0.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25.5" customHeight="1" x14ac:dyDescent="0.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25.5" customHeight="1" x14ac:dyDescent="0.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25.5" customHeight="1" x14ac:dyDescent="0.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25.5" customHeight="1" x14ac:dyDescent="0.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25.5" customHeight="1" x14ac:dyDescent="0.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25.5" customHeight="1" x14ac:dyDescent="0.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25.5" customHeight="1" x14ac:dyDescent="0.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25.5" customHeight="1" x14ac:dyDescent="0.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25.5" customHeight="1" x14ac:dyDescent="0.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25.5" customHeight="1" x14ac:dyDescent="0.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25.5" customHeight="1" x14ac:dyDescent="0.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25.5" customHeight="1" x14ac:dyDescent="0.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25.5" customHeight="1" x14ac:dyDescent="0.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25.5" customHeight="1" x14ac:dyDescent="0.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25.5" customHeight="1" x14ac:dyDescent="0.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25.5" customHeight="1" x14ac:dyDescent="0.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25.5" customHeight="1" x14ac:dyDescent="0.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25.5" customHeight="1" x14ac:dyDescent="0.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25.5" customHeight="1" x14ac:dyDescent="0.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25.5" customHeight="1" x14ac:dyDescent="0.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25.5" customHeight="1" x14ac:dyDescent="0.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25.5" customHeight="1" x14ac:dyDescent="0.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25.5" customHeight="1" x14ac:dyDescent="0.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25.5" customHeight="1" x14ac:dyDescent="0.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25.5" customHeight="1" x14ac:dyDescent="0.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25.5" customHeight="1" x14ac:dyDescent="0.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25.5" customHeight="1" x14ac:dyDescent="0.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25.5" customHeight="1" x14ac:dyDescent="0.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25.5" customHeight="1" x14ac:dyDescent="0.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25.5" customHeight="1" x14ac:dyDescent="0.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25.5" customHeight="1" x14ac:dyDescent="0.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25.5" customHeight="1" x14ac:dyDescent="0.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25.5" customHeight="1" x14ac:dyDescent="0.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25.5" customHeight="1" x14ac:dyDescent="0.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25.5" customHeight="1" x14ac:dyDescent="0.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25.5" customHeight="1" x14ac:dyDescent="0.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25.5" customHeight="1" x14ac:dyDescent="0.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25.5" customHeight="1" x14ac:dyDescent="0.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25.5" customHeight="1" x14ac:dyDescent="0.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25.5" customHeight="1" x14ac:dyDescent="0.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25.5" customHeight="1" x14ac:dyDescent="0.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25.5" customHeight="1" x14ac:dyDescent="0.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25.5" customHeight="1" x14ac:dyDescent="0.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25.5" customHeight="1" x14ac:dyDescent="0.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25.5" customHeight="1" x14ac:dyDescent="0.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25.5" customHeight="1" x14ac:dyDescent="0.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25.5" customHeight="1" x14ac:dyDescent="0.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25.5" customHeight="1" x14ac:dyDescent="0.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25.5" customHeight="1" x14ac:dyDescent="0.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25.5" customHeight="1" x14ac:dyDescent="0.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25.5" customHeight="1" x14ac:dyDescent="0.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25.5" customHeight="1" x14ac:dyDescent="0.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25.5" customHeight="1" x14ac:dyDescent="0.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25.5" customHeight="1" x14ac:dyDescent="0.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25.5" customHeight="1" x14ac:dyDescent="0.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25.5" customHeight="1" x14ac:dyDescent="0.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25.5" customHeight="1" x14ac:dyDescent="0.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25.5" customHeight="1" x14ac:dyDescent="0.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25.5" customHeight="1" x14ac:dyDescent="0.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25.5" customHeight="1" x14ac:dyDescent="0.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25.5" customHeight="1" x14ac:dyDescent="0.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25.5" customHeight="1" x14ac:dyDescent="0.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25.5" customHeight="1" x14ac:dyDescent="0.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25.5" customHeight="1" x14ac:dyDescent="0.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25.5" customHeight="1" x14ac:dyDescent="0.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25.5" customHeight="1" x14ac:dyDescent="0.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25.5" customHeight="1" x14ac:dyDescent="0.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25.5" customHeight="1" x14ac:dyDescent="0.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25.5" customHeight="1" x14ac:dyDescent="0.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25.5" customHeight="1" x14ac:dyDescent="0.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25.5" customHeight="1" x14ac:dyDescent="0.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25.5" customHeight="1" x14ac:dyDescent="0.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25.5" customHeight="1" x14ac:dyDescent="0.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25.5" customHeight="1" x14ac:dyDescent="0.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25.5" customHeight="1" x14ac:dyDescent="0.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25.5" customHeight="1" x14ac:dyDescent="0.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25.5" customHeight="1" x14ac:dyDescent="0.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25.5" customHeight="1" x14ac:dyDescent="0.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25.5" customHeight="1" x14ac:dyDescent="0.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25.5" customHeight="1" x14ac:dyDescent="0.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25.5" customHeight="1" x14ac:dyDescent="0.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25.5" customHeight="1" x14ac:dyDescent="0.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25.5" customHeight="1" x14ac:dyDescent="0.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25.5" customHeight="1" x14ac:dyDescent="0.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25.5" customHeight="1" x14ac:dyDescent="0.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25.5" customHeight="1" x14ac:dyDescent="0.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25.5" customHeight="1" x14ac:dyDescent="0.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25.5" customHeight="1" x14ac:dyDescent="0.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25.5" customHeight="1" x14ac:dyDescent="0.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25.5" customHeight="1" x14ac:dyDescent="0.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25.5" customHeight="1" x14ac:dyDescent="0.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25.5" customHeight="1" x14ac:dyDescent="0.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25.5" customHeight="1" x14ac:dyDescent="0.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25.5" customHeight="1" x14ac:dyDescent="0.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25.5" customHeight="1" x14ac:dyDescent="0.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25.5" customHeight="1" x14ac:dyDescent="0.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25.5" customHeight="1" x14ac:dyDescent="0.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25.5" customHeight="1" x14ac:dyDescent="0.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25.5" customHeight="1" x14ac:dyDescent="0.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25.5" customHeight="1" x14ac:dyDescent="0.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25.5" customHeight="1" x14ac:dyDescent="0.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25.5" customHeight="1" x14ac:dyDescent="0.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25.5" customHeight="1" x14ac:dyDescent="0.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25.5" customHeight="1" x14ac:dyDescent="0.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25.5" customHeight="1" x14ac:dyDescent="0.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25.5" customHeight="1" x14ac:dyDescent="0.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25.5" customHeight="1" x14ac:dyDescent="0.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25.5" customHeight="1" x14ac:dyDescent="0.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25.5" customHeight="1" x14ac:dyDescent="0.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25.5" customHeight="1" x14ac:dyDescent="0.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25.5" customHeight="1" x14ac:dyDescent="0.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25.5" customHeight="1" x14ac:dyDescent="0.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25.5" customHeight="1" x14ac:dyDescent="0.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25.5" customHeight="1" x14ac:dyDescent="0.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25.5" customHeight="1" x14ac:dyDescent="0.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25.5" customHeight="1" x14ac:dyDescent="0.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25.5" customHeight="1" x14ac:dyDescent="0.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25.5" customHeight="1" x14ac:dyDescent="0.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25.5" customHeight="1" x14ac:dyDescent="0.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25.5" customHeight="1" x14ac:dyDescent="0.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25.5" customHeight="1" x14ac:dyDescent="0.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25.5" customHeight="1" x14ac:dyDescent="0.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25.5" customHeight="1" x14ac:dyDescent="0.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25.5" customHeight="1" x14ac:dyDescent="0.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25.5" customHeight="1" x14ac:dyDescent="0.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25.5" customHeight="1" x14ac:dyDescent="0.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25.5" customHeight="1" x14ac:dyDescent="0.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25.5" customHeight="1" x14ac:dyDescent="0.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25.5" customHeight="1" x14ac:dyDescent="0.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25.5" customHeight="1" x14ac:dyDescent="0.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25.5" customHeight="1" x14ac:dyDescent="0.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25.5" customHeight="1" x14ac:dyDescent="0.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25.5" customHeight="1" x14ac:dyDescent="0.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25.5" customHeight="1" x14ac:dyDescent="0.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25.5" customHeight="1" x14ac:dyDescent="0.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25.5" customHeight="1" x14ac:dyDescent="0.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25.5" customHeight="1" x14ac:dyDescent="0.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25.5" customHeight="1" x14ac:dyDescent="0.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25.5" customHeight="1" x14ac:dyDescent="0.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25.5" customHeight="1" x14ac:dyDescent="0.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25.5" customHeight="1" x14ac:dyDescent="0.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25.5" customHeight="1" x14ac:dyDescent="0.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25.5" customHeight="1" x14ac:dyDescent="0.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25.5" customHeight="1" x14ac:dyDescent="0.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25.5" customHeight="1" x14ac:dyDescent="0.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25.5" customHeight="1" x14ac:dyDescent="0.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25.5" customHeight="1" x14ac:dyDescent="0.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25.5" customHeight="1" x14ac:dyDescent="0.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25.5" customHeight="1" x14ac:dyDescent="0.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25.5" customHeight="1" x14ac:dyDescent="0.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25.5" customHeight="1" x14ac:dyDescent="0.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25.5" customHeight="1" x14ac:dyDescent="0.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25.5" customHeight="1" x14ac:dyDescent="0.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25.5" customHeight="1" x14ac:dyDescent="0.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25.5" customHeight="1" x14ac:dyDescent="0.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25.5" customHeight="1" x14ac:dyDescent="0.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25.5" customHeight="1" x14ac:dyDescent="0.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25.5" customHeight="1" x14ac:dyDescent="0.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25.5" customHeight="1" x14ac:dyDescent="0.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25.5" customHeight="1" x14ac:dyDescent="0.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25.5" customHeight="1" x14ac:dyDescent="0.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25.5" customHeight="1" x14ac:dyDescent="0.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25.5" customHeight="1" x14ac:dyDescent="0.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25.5" customHeight="1" x14ac:dyDescent="0.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25.5" customHeight="1" x14ac:dyDescent="0.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25.5" customHeight="1" x14ac:dyDescent="0.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25.5" customHeight="1" x14ac:dyDescent="0.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25.5" customHeight="1" x14ac:dyDescent="0.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25.5" customHeight="1" x14ac:dyDescent="0.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25.5" customHeight="1" x14ac:dyDescent="0.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25.5" customHeight="1" x14ac:dyDescent="0.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25.5" customHeight="1" x14ac:dyDescent="0.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25.5" customHeight="1" x14ac:dyDescent="0.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25.5" customHeight="1" x14ac:dyDescent="0.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25.5" customHeight="1" x14ac:dyDescent="0.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25.5" customHeight="1" x14ac:dyDescent="0.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25.5" customHeight="1" x14ac:dyDescent="0.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25.5" customHeight="1" x14ac:dyDescent="0.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25.5" customHeight="1" x14ac:dyDescent="0.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25.5" customHeight="1" x14ac:dyDescent="0.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25.5" customHeight="1" x14ac:dyDescent="0.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25.5" customHeight="1" x14ac:dyDescent="0.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25.5" customHeight="1" x14ac:dyDescent="0.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25.5" customHeight="1" x14ac:dyDescent="0.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25.5" customHeight="1" x14ac:dyDescent="0.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25.5" customHeight="1" x14ac:dyDescent="0.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25.5" customHeight="1" x14ac:dyDescent="0.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25.5" customHeight="1" x14ac:dyDescent="0.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25.5" customHeight="1" x14ac:dyDescent="0.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25.5" customHeight="1" x14ac:dyDescent="0.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25.5" customHeight="1" x14ac:dyDescent="0.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25.5" customHeight="1" x14ac:dyDescent="0.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25.5" customHeight="1" x14ac:dyDescent="0.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25.5" customHeight="1" x14ac:dyDescent="0.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25.5" customHeight="1" x14ac:dyDescent="0.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25.5" customHeight="1" x14ac:dyDescent="0.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25.5" customHeight="1" x14ac:dyDescent="0.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25.5" customHeight="1" x14ac:dyDescent="0.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25.5" customHeight="1" x14ac:dyDescent="0.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25.5" customHeight="1" x14ac:dyDescent="0.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25.5" customHeight="1" x14ac:dyDescent="0.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25.5" customHeight="1" x14ac:dyDescent="0.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</sheetData>
  <conditionalFormatting sqref="A6">
    <cfRule type="cellIs" dxfId="32" priority="61" operator="greaterThan">
      <formula>0</formula>
    </cfRule>
  </conditionalFormatting>
  <conditionalFormatting sqref="A6">
    <cfRule type="cellIs" dxfId="31" priority="62" operator="equal">
      <formula>0</formula>
    </cfRule>
  </conditionalFormatting>
  <conditionalFormatting sqref="A6">
    <cfRule type="cellIs" dxfId="30" priority="63" operator="lessThan">
      <formula>0</formula>
    </cfRule>
  </conditionalFormatting>
  <conditionalFormatting sqref="B6">
    <cfRule type="cellIs" dxfId="29" priority="64" operator="greaterThan">
      <formula>1</formula>
    </cfRule>
  </conditionalFormatting>
  <conditionalFormatting sqref="B6">
    <cfRule type="cellIs" dxfId="28" priority="65" operator="lessThan">
      <formula>1</formula>
    </cfRule>
  </conditionalFormatting>
  <conditionalFormatting sqref="B6">
    <cfRule type="cellIs" dxfId="27" priority="66" operator="equal">
      <formula>1</formula>
    </cfRule>
  </conditionalFormatting>
  <conditionalFormatting sqref="A6:B6">
    <cfRule type="containsBlanks" dxfId="26" priority="57">
      <formula>LEN(TRIM(A6))=0</formula>
    </cfRule>
  </conditionalFormatting>
  <conditionalFormatting sqref="A4 A2:B2">
    <cfRule type="containsBlanks" dxfId="25" priority="20">
      <formula>LEN(TRIM(A2))=0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1139-B894-4745-ADC4-EC369ADD14AB}">
  <sheetPr codeName="Feuil3"/>
  <dimension ref="A1:Q27"/>
  <sheetViews>
    <sheetView zoomScale="170" zoomScaleNormal="170" workbookViewId="0">
      <selection activeCell="C5" sqref="C5"/>
    </sheetView>
  </sheetViews>
  <sheetFormatPr baseColWidth="10" defaultColWidth="10.42578125" defaultRowHeight="21" customHeight="1" x14ac:dyDescent="0.2"/>
  <cols>
    <col min="1" max="1" width="4.85546875" style="39" customWidth="1"/>
    <col min="2" max="2" width="25.42578125" style="39" customWidth="1"/>
    <col min="3" max="3" width="7.28515625" style="42" customWidth="1"/>
    <col min="4" max="4" width="15.28515625" style="39" customWidth="1"/>
    <col min="5" max="6" width="8.85546875" style="45" customWidth="1"/>
    <col min="7" max="7" width="10.42578125" style="39"/>
    <col min="8" max="8" width="25.42578125" style="39" customWidth="1"/>
    <col min="9" max="9" width="7.28515625" style="42" customWidth="1"/>
    <col min="10" max="10" width="15.28515625" style="39" customWidth="1"/>
    <col min="11" max="12" width="8.85546875" style="45" customWidth="1"/>
    <col min="13" max="16384" width="10.42578125" style="39"/>
  </cols>
  <sheetData>
    <row r="1" spans="1:17" ht="42.75" customHeight="1" x14ac:dyDescent="0.2"/>
    <row r="2" spans="1:17" ht="21" customHeight="1" x14ac:dyDescent="0.2">
      <c r="B2" s="44"/>
      <c r="C2" s="42" t="s">
        <v>21</v>
      </c>
      <c r="D2" s="44"/>
      <c r="E2" s="45" t="s">
        <v>23</v>
      </c>
      <c r="F2" s="45" t="s">
        <v>4</v>
      </c>
      <c r="H2" s="44"/>
      <c r="I2" s="42" t="s">
        <v>21</v>
      </c>
      <c r="K2" s="45" t="s">
        <v>23</v>
      </c>
      <c r="L2" s="45" t="s">
        <v>4</v>
      </c>
    </row>
    <row r="3" spans="1:17" ht="21" customHeight="1" x14ac:dyDescent="0.2">
      <c r="B3" s="39" t="str">
        <f>'Foot à 2 Matchs'!C6&amp;" &amp; "&amp;'Foot à 2 Matchs'!C11</f>
        <v>1 &amp; 1</v>
      </c>
      <c r="C3" s="42" t="str">
        <f>IF('Foot à 2 Matchs'!C2=0,"",'Foot à 2 Matchs'!C2)</f>
        <v/>
      </c>
      <c r="D3" s="42" t="s">
        <v>15</v>
      </c>
      <c r="E3" s="37">
        <f>'Foot à 2 Matchs'!C3</f>
        <v>0</v>
      </c>
      <c r="F3" s="37">
        <f>'Foot à 2 Matchs'!C2*'Foot à 2 Matchs'!C3</f>
        <v>0</v>
      </c>
      <c r="G3" s="44"/>
      <c r="H3" s="39" t="str">
        <f>B3</f>
        <v>1 &amp; 1</v>
      </c>
      <c r="I3" s="42" t="str">
        <f>IF('Foot à 2 Matchs'!C2=0,"",'Foot à 2 Matchs'!C2)</f>
        <v/>
      </c>
      <c r="J3" s="39" t="s">
        <v>15</v>
      </c>
      <c r="K3" s="49">
        <f>E3</f>
        <v>0</v>
      </c>
      <c r="L3" s="37">
        <f>'Foot à 2 Matchs'!C2*'Foot à 2 Matchs'!C3</f>
        <v>0</v>
      </c>
      <c r="N3" s="42"/>
      <c r="O3" s="41"/>
      <c r="P3" s="45"/>
      <c r="Q3" s="45"/>
    </row>
    <row r="4" spans="1:17" ht="21" customHeight="1" x14ac:dyDescent="0.2">
      <c r="A4" s="39" t="s">
        <v>32</v>
      </c>
      <c r="B4" s="40" t="str">
        <f>'Foot à 2 Matchs'!C6&amp;" &amp; "&amp;'Foot à 2 Matchs'!C12</f>
        <v>1 &amp; N2</v>
      </c>
      <c r="C4" s="46">
        <f>'Foot à 2 Matchs'!U15</f>
        <v>1</v>
      </c>
      <c r="D4" s="46" t="str">
        <f ca="1">'Foot à 2 Matchs'!V15</f>
        <v>Betclic</v>
      </c>
      <c r="E4" s="50">
        <f>F$3/C4</f>
        <v>0</v>
      </c>
      <c r="G4" s="44"/>
      <c r="H4" s="40" t="str">
        <f>'Foot à 2 Matchs'!C11&amp;" &amp; "&amp;'Foot à 2 Matchs'!C7</f>
        <v>1 &amp; N1</v>
      </c>
      <c r="I4" s="46">
        <f>'Foot à 2 Matchs'!U18</f>
        <v>1</v>
      </c>
      <c r="J4" s="47" t="str">
        <f ca="1">'Foot à 2 Matchs'!V18</f>
        <v>Betclic</v>
      </c>
      <c r="K4" s="37">
        <f>L$3/I4</f>
        <v>0</v>
      </c>
      <c r="N4" s="42"/>
      <c r="O4" s="41"/>
      <c r="P4" s="45"/>
    </row>
    <row r="5" spans="1:17" ht="21" customHeight="1" x14ac:dyDescent="0.2">
      <c r="B5" s="40" t="str">
        <f>'Foot à 2 Matchs'!C6&amp;" &amp; "&amp;'Foot à 2 Matchs'!C13</f>
        <v>1 &amp; 2</v>
      </c>
      <c r="C5" s="46">
        <f>'Foot à 2 Matchs'!U16</f>
        <v>1</v>
      </c>
      <c r="D5" s="46" t="str">
        <f ca="1">'Foot à 2 Matchs'!V16</f>
        <v>Betclic</v>
      </c>
      <c r="E5" s="37">
        <f>F$3/C5</f>
        <v>0</v>
      </c>
      <c r="G5" s="44"/>
      <c r="H5" s="40" t="str">
        <f>'Foot à 2 Matchs'!C11&amp;" &amp; "&amp;'Foot à 2 Matchs'!C8</f>
        <v>1 &amp; 2</v>
      </c>
      <c r="I5" s="46">
        <f>'Foot à 2 Matchs'!U19</f>
        <v>1</v>
      </c>
      <c r="J5" s="47" t="str">
        <f ca="1">'Foot à 2 Matchs'!V19</f>
        <v>Betclic</v>
      </c>
      <c r="K5" s="37">
        <f>L$3/I5</f>
        <v>0</v>
      </c>
      <c r="N5" s="42"/>
      <c r="O5" s="41"/>
      <c r="P5" s="45"/>
    </row>
    <row r="6" spans="1:17" ht="21" customHeight="1" x14ac:dyDescent="0.2">
      <c r="B6" s="40" t="str">
        <f>'Foot à 2 Matchs'!C7</f>
        <v>N1</v>
      </c>
      <c r="C6" s="46">
        <f>'Foot à 2 Matchs'!U7</f>
        <v>1</v>
      </c>
      <c r="D6" s="46" t="str">
        <f ca="1">'Foot à 2 Matchs'!V7</f>
        <v>Betclic</v>
      </c>
      <c r="E6" s="37">
        <f>F$3/C6</f>
        <v>0</v>
      </c>
      <c r="G6" s="44"/>
      <c r="H6" s="40" t="str">
        <f>'Foot à 2 Matchs'!C12</f>
        <v>N2</v>
      </c>
      <c r="I6" s="46">
        <f>'Foot à 2 Matchs'!U12</f>
        <v>1</v>
      </c>
      <c r="J6" s="46" t="str">
        <f ca="1">'Foot à 2 Matchs'!V12</f>
        <v>Betclic</v>
      </c>
      <c r="K6" s="37">
        <f>L$3/I6</f>
        <v>0</v>
      </c>
      <c r="N6" s="42"/>
      <c r="O6" s="41"/>
      <c r="P6" s="45"/>
    </row>
    <row r="7" spans="1:17" ht="21" customHeight="1" x14ac:dyDescent="0.2">
      <c r="B7" s="40">
        <f>'Foot à 2 Matchs'!C8</f>
        <v>2</v>
      </c>
      <c r="C7" s="46">
        <f>'Foot à 2 Matchs'!U8</f>
        <v>1</v>
      </c>
      <c r="D7" s="46" t="str">
        <f ca="1">'Foot à 2 Matchs'!V8</f>
        <v>Betclic</v>
      </c>
      <c r="E7" s="37">
        <f>F$3/C7</f>
        <v>0</v>
      </c>
      <c r="G7" s="44"/>
      <c r="H7" s="40">
        <f>'Foot à 2 Matchs'!C13</f>
        <v>2</v>
      </c>
      <c r="I7" s="46">
        <f>'Foot à 2 Matchs'!U13</f>
        <v>1</v>
      </c>
      <c r="J7" s="46" t="str">
        <f ca="1">'Foot à 2 Matchs'!V13</f>
        <v>Betclic</v>
      </c>
      <c r="K7" s="37">
        <f>L$3/I7</f>
        <v>0</v>
      </c>
      <c r="N7" s="42"/>
      <c r="O7" s="41"/>
      <c r="P7" s="45"/>
    </row>
    <row r="8" spans="1:17" ht="21" customHeight="1" x14ac:dyDescent="0.2">
      <c r="B8" s="44"/>
      <c r="C8" s="65"/>
      <c r="D8" s="40" t="s">
        <v>11</v>
      </c>
      <c r="E8" s="37">
        <f>SUM(E3:E7)</f>
        <v>0</v>
      </c>
      <c r="F8" s="48">
        <f>F3-E8</f>
        <v>0</v>
      </c>
      <c r="H8" s="44"/>
      <c r="K8" s="50">
        <f>SUM(K3:K7)</f>
        <v>0</v>
      </c>
      <c r="L8" s="48">
        <f>L3-K8</f>
        <v>0</v>
      </c>
      <c r="P8" s="45"/>
      <c r="Q8" s="45"/>
    </row>
    <row r="9" spans="1:17" ht="21" customHeight="1" x14ac:dyDescent="0.2">
      <c r="K9" s="48"/>
      <c r="L9" s="48"/>
    </row>
    <row r="27" spans="4:10" ht="21" customHeight="1" x14ac:dyDescent="0.2">
      <c r="D27" s="41"/>
      <c r="G27" s="41"/>
      <c r="H27" s="41"/>
      <c r="J27" s="41"/>
    </row>
  </sheetData>
  <phoneticPr fontId="7" type="noConversion"/>
  <conditionalFormatting sqref="F8 L8">
    <cfRule type="cellIs" dxfId="24" priority="7" operator="lessThan">
      <formula>0</formula>
    </cfRule>
    <cfRule type="cellIs" dxfId="23" priority="8" operator="equal">
      <formula>MAX($F$8,$L$8)</formula>
    </cfRule>
  </conditionalFormatting>
  <conditionalFormatting sqref="L8">
    <cfRule type="cellIs" dxfId="22" priority="1" operator="lessThan">
      <formula>0</formula>
    </cfRule>
    <cfRule type="cellIs" dxfId="21" priority="2" operator="equal">
      <formula>MAX($F$8,$Q$8)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78EBF-84BE-40B7-8471-390CCB1015A2}">
  <sheetPr codeName="Feuil7"/>
  <dimension ref="B1:W19"/>
  <sheetViews>
    <sheetView zoomScale="190" zoomScaleNormal="190" workbookViewId="0">
      <selection activeCell="C2" sqref="C2"/>
    </sheetView>
  </sheetViews>
  <sheetFormatPr baseColWidth="10" defaultColWidth="14.140625" defaultRowHeight="12.75" x14ac:dyDescent="0.2"/>
  <cols>
    <col min="1" max="1" width="5.42578125" style="51" customWidth="1"/>
    <col min="2" max="16384" width="14.140625" style="51"/>
  </cols>
  <sheetData>
    <row r="1" spans="2:23" ht="27.75" customHeight="1" x14ac:dyDescent="0.2"/>
    <row r="2" spans="2:23" x14ac:dyDescent="0.2">
      <c r="B2" s="39" t="s">
        <v>30</v>
      </c>
      <c r="C2" s="40"/>
      <c r="D2" s="82"/>
      <c r="E2" s="82"/>
      <c r="F2" s="82"/>
      <c r="G2" s="82"/>
      <c r="H2" s="82"/>
      <c r="I2" s="82"/>
      <c r="J2" s="82"/>
    </row>
    <row r="3" spans="2:23" x14ac:dyDescent="0.2">
      <c r="B3" s="39" t="s">
        <v>31</v>
      </c>
      <c r="C3" s="40"/>
      <c r="D3" s="82"/>
      <c r="E3" s="82"/>
      <c r="F3" s="82"/>
      <c r="G3" s="82"/>
      <c r="H3" s="82"/>
      <c r="I3" s="82"/>
      <c r="J3" s="82"/>
    </row>
    <row r="4" spans="2:23" x14ac:dyDescent="0.2">
      <c r="B4" s="82"/>
      <c r="C4" s="82"/>
      <c r="D4" s="82"/>
      <c r="E4" s="82"/>
      <c r="F4" s="82"/>
      <c r="G4" s="82"/>
      <c r="H4" s="82"/>
      <c r="I4" s="82"/>
      <c r="J4" s="82"/>
    </row>
    <row r="5" spans="2:23" x14ac:dyDescent="0.2">
      <c r="B5" s="39" t="s">
        <v>16</v>
      </c>
      <c r="C5" s="39" t="s">
        <v>22</v>
      </c>
      <c r="D5" s="39" t="s">
        <v>8</v>
      </c>
      <c r="E5" s="39" t="s">
        <v>7</v>
      </c>
      <c r="F5" s="39" t="s">
        <v>9</v>
      </c>
      <c r="G5" s="39" t="s">
        <v>10</v>
      </c>
      <c r="H5" s="39" t="s">
        <v>13</v>
      </c>
      <c r="I5" s="39" t="s">
        <v>12</v>
      </c>
      <c r="J5" s="39" t="s">
        <v>14</v>
      </c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</row>
    <row r="6" spans="2:23" x14ac:dyDescent="0.2">
      <c r="B6" s="39" t="s">
        <v>18</v>
      </c>
      <c r="C6" s="84">
        <v>1</v>
      </c>
      <c r="D6" s="42">
        <v>1</v>
      </c>
      <c r="E6" s="42">
        <v>1</v>
      </c>
      <c r="F6" s="42">
        <v>1</v>
      </c>
      <c r="G6" s="42">
        <v>1</v>
      </c>
      <c r="H6" s="42">
        <v>1</v>
      </c>
      <c r="I6" s="42">
        <v>1</v>
      </c>
      <c r="J6" s="42">
        <v>1</v>
      </c>
      <c r="M6" s="17"/>
      <c r="N6" s="17"/>
      <c r="O6" s="17"/>
      <c r="P6" s="17"/>
      <c r="Q6" s="17"/>
      <c r="R6" s="17"/>
      <c r="S6" s="17"/>
      <c r="T6" s="17"/>
      <c r="U6" s="19">
        <f>MAX(D6:J6)</f>
        <v>1</v>
      </c>
      <c r="V6" s="17" t="str">
        <f ca="1">OFFSET(C$5,0,W6,1,1)</f>
        <v>Betclic</v>
      </c>
      <c r="W6" s="17">
        <f>MATCH(U6,D6:J6,0)</f>
        <v>1</v>
      </c>
    </row>
    <row r="7" spans="2:23" x14ac:dyDescent="0.2">
      <c r="B7" s="39" t="s">
        <v>19</v>
      </c>
      <c r="C7" s="84" t="s">
        <v>28</v>
      </c>
      <c r="D7" s="42">
        <v>1</v>
      </c>
      <c r="E7" s="42">
        <v>1</v>
      </c>
      <c r="F7" s="42">
        <v>1</v>
      </c>
      <c r="G7" s="42">
        <v>1</v>
      </c>
      <c r="H7" s="42">
        <v>1</v>
      </c>
      <c r="I7" s="42">
        <v>1</v>
      </c>
      <c r="J7" s="42">
        <v>1</v>
      </c>
      <c r="M7" s="17"/>
      <c r="N7" s="17"/>
      <c r="O7" s="17"/>
      <c r="P7" s="17"/>
      <c r="Q7" s="17"/>
      <c r="R7" s="17"/>
      <c r="S7" s="17"/>
      <c r="T7" s="17"/>
      <c r="U7" s="19">
        <f>MAX(D7:J7)</f>
        <v>1</v>
      </c>
      <c r="V7" s="17" t="str">
        <f ca="1">OFFSET(C$5,0,W7,1,1)</f>
        <v>Betclic</v>
      </c>
      <c r="W7" s="17">
        <f>MATCH(U7,D7:J7,0)</f>
        <v>1</v>
      </c>
    </row>
    <row r="8" spans="2:23" x14ac:dyDescent="0.2">
      <c r="B8" s="39" t="s">
        <v>20</v>
      </c>
      <c r="C8" s="84">
        <v>2</v>
      </c>
      <c r="D8" s="42">
        <v>1</v>
      </c>
      <c r="E8" s="42">
        <v>1</v>
      </c>
      <c r="F8" s="42">
        <v>1</v>
      </c>
      <c r="G8" s="42">
        <v>1</v>
      </c>
      <c r="H8" s="42">
        <v>1</v>
      </c>
      <c r="I8" s="42">
        <v>1</v>
      </c>
      <c r="J8" s="42">
        <v>1</v>
      </c>
      <c r="M8" s="17"/>
      <c r="N8" s="17"/>
      <c r="O8" s="17"/>
      <c r="P8" s="17"/>
      <c r="Q8" s="17"/>
      <c r="R8" s="17"/>
      <c r="S8" s="17"/>
      <c r="T8" s="17"/>
      <c r="U8" s="19">
        <f>MAX(D8:J8)</f>
        <v>1</v>
      </c>
      <c r="V8" s="17" t="str">
        <f ca="1">OFFSET(C$5,0,W8,1,1)</f>
        <v>Betclic</v>
      </c>
      <c r="W8" s="17">
        <f>MATCH(U8,D8:J8,0)</f>
        <v>1</v>
      </c>
    </row>
    <row r="9" spans="2:23" x14ac:dyDescent="0.2">
      <c r="B9" s="39"/>
      <c r="C9" s="39"/>
      <c r="D9" s="42"/>
      <c r="E9" s="42"/>
      <c r="F9" s="42"/>
      <c r="G9" s="42"/>
      <c r="H9" s="42"/>
      <c r="I9" s="42"/>
      <c r="J9" s="42"/>
      <c r="M9" s="17"/>
      <c r="N9" s="17"/>
      <c r="O9" s="17"/>
      <c r="P9" s="17"/>
      <c r="Q9" s="17"/>
      <c r="R9" s="17"/>
      <c r="S9" s="17"/>
      <c r="T9" s="17"/>
      <c r="U9" s="19"/>
      <c r="V9" s="17"/>
      <c r="W9" s="17"/>
    </row>
    <row r="10" spans="2:23" x14ac:dyDescent="0.2">
      <c r="B10" s="39" t="s">
        <v>17</v>
      </c>
      <c r="C10" s="39" t="s">
        <v>22</v>
      </c>
      <c r="D10" s="42"/>
      <c r="E10" s="42"/>
      <c r="F10" s="42"/>
      <c r="G10" s="42"/>
      <c r="H10" s="42"/>
      <c r="I10" s="42"/>
      <c r="J10" s="42"/>
      <c r="M10" s="17"/>
      <c r="N10" s="17"/>
      <c r="O10" s="17"/>
      <c r="P10" s="17"/>
      <c r="Q10" s="17"/>
      <c r="R10" s="17"/>
      <c r="S10" s="17"/>
      <c r="T10" s="17"/>
      <c r="U10" s="19"/>
      <c r="V10" s="17"/>
      <c r="W10" s="17"/>
    </row>
    <row r="11" spans="2:23" x14ac:dyDescent="0.2">
      <c r="B11" s="39" t="s">
        <v>18</v>
      </c>
      <c r="C11" s="84">
        <v>1</v>
      </c>
      <c r="D11" s="42">
        <v>1</v>
      </c>
      <c r="E11" s="42">
        <v>1</v>
      </c>
      <c r="F11" s="42">
        <v>1</v>
      </c>
      <c r="G11" s="42">
        <v>1</v>
      </c>
      <c r="H11" s="42">
        <v>1</v>
      </c>
      <c r="I11" s="42">
        <v>1</v>
      </c>
      <c r="J11" s="42">
        <v>1</v>
      </c>
      <c r="M11" s="17"/>
      <c r="N11" s="17"/>
      <c r="O11" s="17"/>
      <c r="P11" s="17"/>
      <c r="Q11" s="17"/>
      <c r="R11" s="17"/>
      <c r="S11" s="17"/>
      <c r="T11" s="17"/>
      <c r="U11" s="19">
        <f>MAX(D11:J11)</f>
        <v>1</v>
      </c>
      <c r="V11" s="17" t="str">
        <f ca="1">OFFSET(C$5,0,W11,1,1)</f>
        <v>Betclic</v>
      </c>
      <c r="W11" s="17">
        <f>MATCH(U11,D11:J11,0)</f>
        <v>1</v>
      </c>
    </row>
    <row r="12" spans="2:23" x14ac:dyDescent="0.2">
      <c r="B12" s="39" t="s">
        <v>19</v>
      </c>
      <c r="C12" s="84" t="s">
        <v>29</v>
      </c>
      <c r="D12" s="42">
        <v>1</v>
      </c>
      <c r="E12" s="42">
        <v>1</v>
      </c>
      <c r="F12" s="42">
        <v>1</v>
      </c>
      <c r="G12" s="42">
        <v>1</v>
      </c>
      <c r="H12" s="42">
        <v>1</v>
      </c>
      <c r="I12" s="42">
        <v>1</v>
      </c>
      <c r="J12" s="42">
        <v>1</v>
      </c>
      <c r="M12" s="17"/>
      <c r="N12" s="17"/>
      <c r="O12" s="17"/>
      <c r="P12" s="17"/>
      <c r="Q12" s="17"/>
      <c r="R12" s="17"/>
      <c r="S12" s="17"/>
      <c r="T12" s="17"/>
      <c r="U12" s="19">
        <f>MAX(D12:J12)</f>
        <v>1</v>
      </c>
      <c r="V12" s="17" t="str">
        <f ca="1">OFFSET(C$5,0,W12,1,1)</f>
        <v>Betclic</v>
      </c>
      <c r="W12" s="17">
        <f>MATCH(U12,D12:J12,0)</f>
        <v>1</v>
      </c>
    </row>
    <row r="13" spans="2:23" x14ac:dyDescent="0.2">
      <c r="B13" s="39" t="s">
        <v>20</v>
      </c>
      <c r="C13" s="84">
        <v>2</v>
      </c>
      <c r="D13" s="42">
        <v>1</v>
      </c>
      <c r="E13" s="42">
        <v>1</v>
      </c>
      <c r="F13" s="42">
        <v>1</v>
      </c>
      <c r="G13" s="42">
        <v>1</v>
      </c>
      <c r="H13" s="42">
        <v>1</v>
      </c>
      <c r="I13" s="42">
        <v>1</v>
      </c>
      <c r="J13" s="42">
        <v>1</v>
      </c>
      <c r="M13" s="17"/>
      <c r="N13" s="17"/>
      <c r="O13" s="17"/>
      <c r="P13" s="17"/>
      <c r="Q13" s="17"/>
      <c r="R13" s="17"/>
      <c r="S13" s="17"/>
      <c r="T13" s="17"/>
      <c r="U13" s="19">
        <f>MAX(D13:J13)</f>
        <v>1</v>
      </c>
      <c r="V13" s="17" t="str">
        <f ca="1">OFFSET(C$5,0,W13,1,1)</f>
        <v>Betclic</v>
      </c>
      <c r="W13" s="17">
        <f>MATCH(U13,D13:J13,0)</f>
        <v>1</v>
      </c>
    </row>
    <row r="14" spans="2:23" x14ac:dyDescent="0.2">
      <c r="B14" s="17"/>
      <c r="C14" s="17"/>
      <c r="D14" s="17"/>
      <c r="E14" s="17"/>
      <c r="F14" s="17"/>
      <c r="G14" s="17"/>
      <c r="H14" s="17"/>
      <c r="I14" s="17"/>
      <c r="J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2:23" x14ac:dyDescent="0.2">
      <c r="B15" s="17"/>
      <c r="C15" s="17" t="str">
        <f>C$6&amp;" &amp; "&amp;C12</f>
        <v>1 &amp; N2</v>
      </c>
      <c r="D15" s="18">
        <f t="shared" ref="D15:J16" si="0">D$6*D12</f>
        <v>1</v>
      </c>
      <c r="E15" s="18">
        <f t="shared" si="0"/>
        <v>1</v>
      </c>
      <c r="F15" s="18">
        <f t="shared" si="0"/>
        <v>1</v>
      </c>
      <c r="G15" s="18">
        <f t="shared" si="0"/>
        <v>1</v>
      </c>
      <c r="H15" s="18">
        <f t="shared" ref="H15" si="1">H$6*H12</f>
        <v>1</v>
      </c>
      <c r="I15" s="18">
        <f>I$6*I12</f>
        <v>1</v>
      </c>
      <c r="J15" s="18">
        <f t="shared" si="0"/>
        <v>1</v>
      </c>
      <c r="M15" s="17"/>
      <c r="N15" s="17"/>
      <c r="O15" s="17"/>
      <c r="P15" s="17"/>
      <c r="Q15" s="17"/>
      <c r="R15" s="17"/>
      <c r="S15" s="17"/>
      <c r="T15" s="17"/>
      <c r="U15" s="18">
        <f>MAX(D15:J15)</f>
        <v>1</v>
      </c>
      <c r="V15" s="17" t="str">
        <f ca="1">OFFSET(C$5,0,W15,1,1)</f>
        <v>Betclic</v>
      </c>
      <c r="W15" s="17">
        <f>MATCH(U15,D15:J15,0)</f>
        <v>1</v>
      </c>
    </row>
    <row r="16" spans="2:23" x14ac:dyDescent="0.2">
      <c r="B16" s="17"/>
      <c r="C16" s="17" t="str">
        <f>C$6&amp;" &amp; "&amp;C13</f>
        <v>1 &amp; 2</v>
      </c>
      <c r="D16" s="18">
        <f t="shared" si="0"/>
        <v>1</v>
      </c>
      <c r="E16" s="18">
        <f t="shared" si="0"/>
        <v>1</v>
      </c>
      <c r="F16" s="18">
        <f t="shared" si="0"/>
        <v>1</v>
      </c>
      <c r="G16" s="18">
        <f t="shared" si="0"/>
        <v>1</v>
      </c>
      <c r="H16" s="18">
        <f t="shared" ref="H16" si="2">H$6*H13</f>
        <v>1</v>
      </c>
      <c r="I16" s="18">
        <f>I$6*I13</f>
        <v>1</v>
      </c>
      <c r="J16" s="18">
        <f t="shared" si="0"/>
        <v>1</v>
      </c>
      <c r="M16" s="17"/>
      <c r="N16" s="17"/>
      <c r="O16" s="17"/>
      <c r="P16" s="17"/>
      <c r="Q16" s="17"/>
      <c r="R16" s="17"/>
      <c r="S16" s="17"/>
      <c r="T16" s="17"/>
      <c r="U16" s="18">
        <f>MAX(D16:J16)</f>
        <v>1</v>
      </c>
      <c r="V16" s="17" t="str">
        <f ca="1">OFFSET(C$5,0,W16,1,1)</f>
        <v>Betclic</v>
      </c>
      <c r="W16" s="17">
        <f>MATCH(U16,D16:J16,0)</f>
        <v>1</v>
      </c>
    </row>
    <row r="17" spans="2:23" x14ac:dyDescent="0.2">
      <c r="B17" s="17"/>
      <c r="C17" s="17"/>
      <c r="D17" s="18"/>
      <c r="E17" s="18"/>
      <c r="F17" s="18"/>
      <c r="G17" s="18"/>
      <c r="H17" s="18"/>
      <c r="I17" s="18"/>
      <c r="J17" s="18"/>
      <c r="M17" s="17"/>
      <c r="N17" s="17"/>
      <c r="O17" s="17"/>
      <c r="P17" s="17"/>
      <c r="Q17" s="17"/>
      <c r="R17" s="17"/>
      <c r="S17" s="17"/>
      <c r="T17" s="17"/>
      <c r="U17" s="18"/>
      <c r="V17" s="17"/>
      <c r="W17" s="17"/>
    </row>
    <row r="18" spans="2:23" x14ac:dyDescent="0.2">
      <c r="B18" s="17"/>
      <c r="C18" s="17" t="str">
        <f>C$11&amp;" &amp; "&amp;C7</f>
        <v>1 &amp; N1</v>
      </c>
      <c r="D18" s="18">
        <f t="shared" ref="D18:J19" si="3">D$11*D7</f>
        <v>1</v>
      </c>
      <c r="E18" s="18">
        <f t="shared" si="3"/>
        <v>1</v>
      </c>
      <c r="F18" s="18">
        <f t="shared" si="3"/>
        <v>1</v>
      </c>
      <c r="G18" s="18">
        <f t="shared" si="3"/>
        <v>1</v>
      </c>
      <c r="H18" s="18">
        <f t="shared" ref="H18" si="4">H$11*H7</f>
        <v>1</v>
      </c>
      <c r="I18" s="18">
        <f>I$11*I7</f>
        <v>1</v>
      </c>
      <c r="J18" s="18">
        <f t="shared" si="3"/>
        <v>1</v>
      </c>
      <c r="M18" s="17"/>
      <c r="N18" s="17"/>
      <c r="O18" s="17"/>
      <c r="P18" s="17"/>
      <c r="Q18" s="17"/>
      <c r="R18" s="17"/>
      <c r="S18" s="17"/>
      <c r="T18" s="17"/>
      <c r="U18" s="18">
        <f>MAX(D18:J18)</f>
        <v>1</v>
      </c>
      <c r="V18" s="17" t="str">
        <f ca="1">OFFSET(C$5,0,W18,1,1)</f>
        <v>Betclic</v>
      </c>
      <c r="W18" s="17">
        <f>MATCH(U18,D18:J18,0)</f>
        <v>1</v>
      </c>
    </row>
    <row r="19" spans="2:23" x14ac:dyDescent="0.2">
      <c r="B19" s="17"/>
      <c r="C19" s="17" t="str">
        <f>C$11&amp;" &amp; "&amp;C8</f>
        <v>1 &amp; 2</v>
      </c>
      <c r="D19" s="18">
        <f t="shared" si="3"/>
        <v>1</v>
      </c>
      <c r="E19" s="18">
        <f t="shared" si="3"/>
        <v>1</v>
      </c>
      <c r="F19" s="18">
        <f t="shared" si="3"/>
        <v>1</v>
      </c>
      <c r="G19" s="18">
        <f t="shared" si="3"/>
        <v>1</v>
      </c>
      <c r="H19" s="18">
        <f t="shared" ref="H19" si="5">H$11*H8</f>
        <v>1</v>
      </c>
      <c r="I19" s="18">
        <f>I$11*I8</f>
        <v>1</v>
      </c>
      <c r="J19" s="18">
        <f t="shared" si="3"/>
        <v>1</v>
      </c>
      <c r="M19" s="17"/>
      <c r="N19" s="17"/>
      <c r="O19" s="17"/>
      <c r="P19" s="17"/>
      <c r="Q19" s="17"/>
      <c r="R19" s="17"/>
      <c r="S19" s="17"/>
      <c r="T19" s="17"/>
      <c r="U19" s="18">
        <f>MAX(D19:J19)</f>
        <v>1</v>
      </c>
      <c r="V19" s="17" t="str">
        <f ca="1">OFFSET(C$5,0,W19,1,1)</f>
        <v>Betclic</v>
      </c>
      <c r="W19" s="17">
        <f>MATCH(U19,D19:J19,0)</f>
        <v>1</v>
      </c>
    </row>
  </sheetData>
  <conditionalFormatting sqref="C2:C3">
    <cfRule type="containsBlanks" dxfId="20" priority="87">
      <formula>LEN(TRIM(C2))=0</formula>
    </cfRule>
  </conditionalFormatting>
  <conditionalFormatting sqref="D6:J8">
    <cfRule type="cellIs" dxfId="19" priority="36" operator="equal">
      <formula>1</formula>
    </cfRule>
  </conditionalFormatting>
  <conditionalFormatting sqref="I6:I8">
    <cfRule type="cellIs" dxfId="18" priority="7" operator="equal">
      <formula>1</formula>
    </cfRule>
  </conditionalFormatting>
  <conditionalFormatting sqref="D11:J13">
    <cfRule type="cellIs" dxfId="17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1E0E7-438A-4C94-84FC-C64A72BCE921}">
  <sheetPr codeName="Feuil4"/>
  <dimension ref="B2:L27"/>
  <sheetViews>
    <sheetView zoomScale="160" zoomScaleNormal="160" workbookViewId="0">
      <selection activeCell="C21" sqref="C21"/>
    </sheetView>
  </sheetViews>
  <sheetFormatPr baseColWidth="10" defaultColWidth="10.140625" defaultRowHeight="11.25" customHeight="1" x14ac:dyDescent="0.2"/>
  <cols>
    <col min="1" max="1" width="6" style="22" customWidth="1"/>
    <col min="2" max="2" width="30.42578125" style="34" bestFit="1" customWidth="1"/>
    <col min="3" max="3" width="7.85546875" style="28" customWidth="1"/>
    <col min="4" max="4" width="14.42578125" style="22" customWidth="1"/>
    <col min="5" max="6" width="10.140625" style="22"/>
    <col min="7" max="7" width="2.28515625" style="22" customWidth="1"/>
    <col min="8" max="8" width="30.42578125" style="34" bestFit="1" customWidth="1"/>
    <col min="9" max="9" width="10.140625" style="28"/>
    <col min="10" max="10" width="14.42578125" style="22" customWidth="1"/>
    <col min="11" max="16384" width="10.140625" style="22"/>
  </cols>
  <sheetData>
    <row r="2" spans="2:12" ht="11.25" customHeight="1" x14ac:dyDescent="0.2">
      <c r="B2" s="34" t="str">
        <f>'Foot à 3 matchs'!C6&amp;" &amp; "&amp;'Foot à 3 matchs'!C11&amp;" &amp; "&amp;'Foot à 3 matchs'!C16</f>
        <v>1 &amp; 1 &amp; 1</v>
      </c>
      <c r="C2" s="27" t="str">
        <f>IF('Foot à 3 matchs'!$C$2=0,"",'Foot à 3 matchs'!$C$2)</f>
        <v/>
      </c>
      <c r="D2" s="24" t="s">
        <v>15</v>
      </c>
      <c r="E2" s="37">
        <f>'Foot à 3 matchs'!$C$3</f>
        <v>0</v>
      </c>
      <c r="F2" s="37">
        <f>'Foot à 3 matchs'!$C$2*'Foot à 3 matchs'!$C$3</f>
        <v>0</v>
      </c>
      <c r="H2" s="32" t="str">
        <f>'Foot à 3 matchs'!C6&amp;" &amp; "&amp;'Foot à 3 matchs'!C11&amp;" &amp; "&amp;'Foot à 3 matchs'!C16</f>
        <v>1 &amp; 1 &amp; 1</v>
      </c>
      <c r="I2" s="27" t="str">
        <f>IF('Foot à 3 matchs'!$C$2=0,"",'Foot à 3 matchs'!$C$2)</f>
        <v/>
      </c>
      <c r="J2" s="24" t="s">
        <v>15</v>
      </c>
      <c r="K2" s="37">
        <f>'Foot à 3 matchs'!$C$3</f>
        <v>0</v>
      </c>
      <c r="L2" s="37">
        <f>'Foot à 3 matchs'!$C$2*'Foot à 3 matchs'!$C$3</f>
        <v>0</v>
      </c>
    </row>
    <row r="3" spans="2:12" ht="11.25" customHeight="1" x14ac:dyDescent="0.2">
      <c r="B3" s="33" t="str">
        <f>'Foot à 3 matchs'!O8</f>
        <v>1 &amp; N2 &amp; 1</v>
      </c>
      <c r="C3" s="25">
        <f>'Foot à 3 matchs'!X8</f>
        <v>1</v>
      </c>
      <c r="D3" s="21" t="str">
        <f ca="1">'Foot à 3 matchs'!Y8</f>
        <v>Betclic</v>
      </c>
      <c r="E3" s="30">
        <f t="shared" ref="E3:E8" si="0">$F$2/C3</f>
        <v>0</v>
      </c>
      <c r="H3" s="33" t="str">
        <f>'Foot à 3 matchs'!O19</f>
        <v>N1 &amp; 1 &amp; 1</v>
      </c>
      <c r="I3" s="25">
        <f>'Foot à 3 matchs'!X19</f>
        <v>1</v>
      </c>
      <c r="J3" s="21" t="str">
        <f ca="1">'Foot à 3 matchs'!Y19</f>
        <v>Betclic</v>
      </c>
      <c r="K3" s="30">
        <f t="shared" ref="K3:K8" si="1">$F$2/I3</f>
        <v>0</v>
      </c>
    </row>
    <row r="4" spans="2:12" ht="11.25" customHeight="1" x14ac:dyDescent="0.2">
      <c r="B4" s="33" t="str">
        <f>'Foot à 3 matchs'!O9</f>
        <v>1 &amp; 2 &amp; 1</v>
      </c>
      <c r="C4" s="25">
        <f>'Foot à 3 matchs'!X9</f>
        <v>1</v>
      </c>
      <c r="D4" s="21" t="str">
        <f ca="1">'Foot à 3 matchs'!Y9</f>
        <v>Betclic</v>
      </c>
      <c r="E4" s="30">
        <f t="shared" si="0"/>
        <v>0</v>
      </c>
      <c r="H4" s="33" t="str">
        <f>'Foot à 3 matchs'!O20</f>
        <v>2 &amp; 1 &amp; 1</v>
      </c>
      <c r="I4" s="25">
        <f>'Foot à 3 matchs'!X20</f>
        <v>1</v>
      </c>
      <c r="J4" s="21" t="str">
        <f ca="1">'Foot à 3 matchs'!Y20</f>
        <v>Betclic</v>
      </c>
      <c r="K4" s="30">
        <f t="shared" si="1"/>
        <v>0</v>
      </c>
    </row>
    <row r="5" spans="2:12" ht="11.25" customHeight="1" x14ac:dyDescent="0.2">
      <c r="B5" s="33" t="str">
        <f>'Foot à 3 matchs'!O16</f>
        <v>N1 &amp; 1</v>
      </c>
      <c r="C5" s="25">
        <f>'Foot à 3 matchs'!X16</f>
        <v>1</v>
      </c>
      <c r="D5" s="21" t="str">
        <f ca="1">'Foot à 3 matchs'!Y16</f>
        <v>Betclic</v>
      </c>
      <c r="E5" s="30">
        <f t="shared" si="0"/>
        <v>0</v>
      </c>
      <c r="H5" s="33" t="str">
        <f>'Foot à 3 matchs'!O24</f>
        <v>N2 &amp; 1</v>
      </c>
      <c r="I5" s="25">
        <f>'Foot à 3 matchs'!X24</f>
        <v>1</v>
      </c>
      <c r="J5" s="21" t="str">
        <f ca="1">'Foot à 3 matchs'!Y24</f>
        <v>Betclic</v>
      </c>
      <c r="K5" s="30">
        <f t="shared" si="1"/>
        <v>0</v>
      </c>
    </row>
    <row r="6" spans="2:12" ht="11.25" customHeight="1" x14ac:dyDescent="0.2">
      <c r="B6" s="33" t="str">
        <f>'Foot à 3 matchs'!O17</f>
        <v>2 &amp; 1</v>
      </c>
      <c r="C6" s="25">
        <f>'Foot à 3 matchs'!X17</f>
        <v>1</v>
      </c>
      <c r="D6" s="21" t="str">
        <f ca="1">'Foot à 3 matchs'!Y17</f>
        <v>Betclic</v>
      </c>
      <c r="E6" s="30">
        <f t="shared" si="0"/>
        <v>0</v>
      </c>
      <c r="H6" s="33" t="str">
        <f>'Foot à 3 matchs'!O25</f>
        <v>2 &amp; 1</v>
      </c>
      <c r="I6" s="25">
        <f>'Foot à 3 matchs'!X25</f>
        <v>1</v>
      </c>
      <c r="J6" s="21" t="str">
        <f ca="1">'Foot à 3 matchs'!Y25</f>
        <v>Betclic</v>
      </c>
      <c r="K6" s="30">
        <f t="shared" si="1"/>
        <v>0</v>
      </c>
    </row>
    <row r="7" spans="2:12" ht="11.25" customHeight="1" x14ac:dyDescent="0.2">
      <c r="B7" s="33" t="str">
        <f>'Foot à 3 matchs'!C17</f>
        <v>N3</v>
      </c>
      <c r="C7" s="25">
        <f>'Foot à 3 matchs'!L17</f>
        <v>1</v>
      </c>
      <c r="D7" s="25" t="str">
        <f ca="1">'Foot à 3 matchs'!M17</f>
        <v>Betclic</v>
      </c>
      <c r="E7" s="30">
        <f t="shared" si="0"/>
        <v>0</v>
      </c>
      <c r="H7" s="33" t="str">
        <f>'Foot à 3 matchs'!C17</f>
        <v>N3</v>
      </c>
      <c r="I7" s="25">
        <f>'Foot à 3 matchs'!L17</f>
        <v>1</v>
      </c>
      <c r="J7" s="25" t="str">
        <f ca="1">'Foot à 3 matchs'!M17</f>
        <v>Betclic</v>
      </c>
      <c r="K7" s="30">
        <f t="shared" si="1"/>
        <v>0</v>
      </c>
    </row>
    <row r="8" spans="2:12" ht="11.25" customHeight="1" x14ac:dyDescent="0.2">
      <c r="B8" s="33">
        <f>'Foot à 3 matchs'!C18</f>
        <v>2</v>
      </c>
      <c r="C8" s="25">
        <f>'Foot à 3 matchs'!L18</f>
        <v>1</v>
      </c>
      <c r="D8" s="25" t="str">
        <f ca="1">'Foot à 3 matchs'!M18</f>
        <v>Betclic</v>
      </c>
      <c r="E8" s="30">
        <f t="shared" si="0"/>
        <v>0</v>
      </c>
      <c r="F8" s="24"/>
      <c r="H8" s="33">
        <f>'Foot à 3 matchs'!C18</f>
        <v>2</v>
      </c>
      <c r="I8" s="25">
        <f>'Foot à 3 matchs'!L18</f>
        <v>1</v>
      </c>
      <c r="J8" s="25" t="str">
        <f ca="1">'Foot à 3 matchs'!M18</f>
        <v>Betclic</v>
      </c>
      <c r="K8" s="30">
        <f t="shared" si="1"/>
        <v>0</v>
      </c>
    </row>
    <row r="9" spans="2:12" ht="11.25" customHeight="1" x14ac:dyDescent="0.2">
      <c r="C9" s="27"/>
      <c r="D9" s="26" t="s">
        <v>11</v>
      </c>
      <c r="E9" s="30">
        <f>SUM(E2:E8)</f>
        <v>0</v>
      </c>
      <c r="F9" s="31">
        <f>F2-E9</f>
        <v>0</v>
      </c>
      <c r="H9" s="32"/>
      <c r="I9" s="27"/>
      <c r="J9" s="26" t="s">
        <v>11</v>
      </c>
      <c r="K9" s="30">
        <f>SUM(K2:K8)</f>
        <v>0</v>
      </c>
      <c r="L9" s="31">
        <f>L2-K9</f>
        <v>0</v>
      </c>
    </row>
    <row r="11" spans="2:12" ht="11.25" customHeight="1" x14ac:dyDescent="0.2">
      <c r="B11" s="34" t="str">
        <f>'Foot à 3 matchs'!C6&amp;" &amp; "&amp;'Foot à 3 matchs'!C11&amp;" &amp; "&amp;'Foot à 3 matchs'!C16</f>
        <v>1 &amp; 1 &amp; 1</v>
      </c>
      <c r="C11" s="27" t="str">
        <f>IF('Foot à 3 matchs'!$C$2=0,"",'Foot à 3 matchs'!$C$2)</f>
        <v/>
      </c>
      <c r="D11" s="24" t="s">
        <v>15</v>
      </c>
      <c r="E11" s="37">
        <f>'Foot à 3 matchs'!$C$3</f>
        <v>0</v>
      </c>
      <c r="F11" s="37">
        <f>'Foot à 3 matchs'!$C$2*'Foot à 3 matchs'!$C$3</f>
        <v>0</v>
      </c>
      <c r="H11" s="34" t="str">
        <f>'Foot à 3 matchs'!C6&amp;" &amp; "&amp;'Foot à 3 matchs'!C11&amp;" &amp; "&amp;'Foot à 3 matchs'!C16</f>
        <v>1 &amp; 1 &amp; 1</v>
      </c>
      <c r="I11" s="27" t="str">
        <f>IF('Foot à 3 matchs'!$C$2=0,"",'Foot à 3 matchs'!$C$2)</f>
        <v/>
      </c>
      <c r="J11" s="24" t="s">
        <v>15</v>
      </c>
      <c r="K11" s="37">
        <f>'Foot à 3 matchs'!$C$3</f>
        <v>0</v>
      </c>
      <c r="L11" s="37">
        <f>'Foot à 3 matchs'!$C$2*'Foot à 3 matchs'!$C$3</f>
        <v>0</v>
      </c>
    </row>
    <row r="12" spans="2:12" ht="11.25" customHeight="1" x14ac:dyDescent="0.2">
      <c r="B12" s="35" t="str">
        <f>'Foot à 3 matchs'!O19</f>
        <v>N1 &amp; 1 &amp; 1</v>
      </c>
      <c r="C12" s="29">
        <f>'Foot à 3 matchs'!X19</f>
        <v>1</v>
      </c>
      <c r="D12" s="23" t="str">
        <f ca="1">'Foot à 3 matchs'!Y19</f>
        <v>Betclic</v>
      </c>
      <c r="E12" s="36">
        <f>F11/C12</f>
        <v>0</v>
      </c>
      <c r="H12" s="33" t="str">
        <f>'Foot à 3 matchs'!O3</f>
        <v>1 &amp; 1 &amp; N3</v>
      </c>
      <c r="I12" s="25">
        <f>'Foot à 3 matchs'!X3</f>
        <v>1</v>
      </c>
      <c r="J12" s="21" t="str">
        <f ca="1">'Foot à 3 matchs'!Y3</f>
        <v>Betclic</v>
      </c>
      <c r="K12" s="36">
        <f>L11/I12</f>
        <v>0</v>
      </c>
    </row>
    <row r="13" spans="2:12" ht="11.25" customHeight="1" x14ac:dyDescent="0.2">
      <c r="B13" s="35" t="str">
        <f>'Foot à 3 matchs'!O20</f>
        <v>2 &amp; 1 &amp; 1</v>
      </c>
      <c r="C13" s="29">
        <f>'Foot à 3 matchs'!X20</f>
        <v>1</v>
      </c>
      <c r="D13" s="23" t="str">
        <f ca="1">'Foot à 3 matchs'!Y20</f>
        <v>Betclic</v>
      </c>
      <c r="E13" s="30">
        <f>'Foot à 3 matchs'!$C$2*'Foot à 3 matchs'!$C$3/C13</f>
        <v>0</v>
      </c>
      <c r="H13" s="33" t="str">
        <f>'Foot à 3 matchs'!O4</f>
        <v>1 &amp; 1 &amp; 2</v>
      </c>
      <c r="I13" s="25">
        <f>'Foot à 3 matchs'!X4</f>
        <v>1</v>
      </c>
      <c r="J13" s="21" t="str">
        <f ca="1">'Foot à 3 matchs'!Y4</f>
        <v>Betclic</v>
      </c>
      <c r="K13" s="30">
        <f>'Foot à 3 matchs'!$C$2*'Foot à 3 matchs'!$C$3/I13</f>
        <v>0</v>
      </c>
    </row>
    <row r="14" spans="2:12" ht="11.25" customHeight="1" x14ac:dyDescent="0.2">
      <c r="B14" s="33" t="str">
        <f>'Foot à 3 matchs'!O21</f>
        <v>1 &amp; N3</v>
      </c>
      <c r="C14" s="25">
        <f>'Foot à 3 matchs'!X21</f>
        <v>1</v>
      </c>
      <c r="D14" s="21" t="str">
        <f ca="1">'Foot à 3 matchs'!Y21</f>
        <v>Betclic</v>
      </c>
      <c r="E14" s="30">
        <f>'Foot à 3 matchs'!$C$2*'Foot à 3 matchs'!$C$3/C14</f>
        <v>0</v>
      </c>
      <c r="H14" s="33" t="str">
        <f>'Foot à 3 matchs'!O13</f>
        <v>N1 &amp; 1</v>
      </c>
      <c r="I14" s="25">
        <f>'Foot à 3 matchs'!X13</f>
        <v>1</v>
      </c>
      <c r="J14" s="21" t="str">
        <f ca="1">'Foot à 3 matchs'!Y13</f>
        <v>Betclic</v>
      </c>
      <c r="K14" s="30">
        <f>'Foot à 3 matchs'!$C$2*'Foot à 3 matchs'!$C$3/I14</f>
        <v>0</v>
      </c>
    </row>
    <row r="15" spans="2:12" ht="11.25" customHeight="1" x14ac:dyDescent="0.2">
      <c r="B15" s="33" t="str">
        <f>'Foot à 3 matchs'!O22</f>
        <v>1 &amp; 2</v>
      </c>
      <c r="C15" s="25">
        <f>'Foot à 3 matchs'!X22</f>
        <v>1</v>
      </c>
      <c r="D15" s="21" t="str">
        <f ca="1">'Foot à 3 matchs'!Y22</f>
        <v>Betclic</v>
      </c>
      <c r="E15" s="30">
        <f>'Foot à 3 matchs'!$C$2*'Foot à 3 matchs'!$C$3/C15</f>
        <v>0</v>
      </c>
      <c r="H15" s="33" t="str">
        <f>'Foot à 3 matchs'!O14</f>
        <v>2 &amp; 1</v>
      </c>
      <c r="I15" s="25">
        <f>'Foot à 3 matchs'!X14</f>
        <v>1</v>
      </c>
      <c r="J15" s="21" t="str">
        <f ca="1">'Foot à 3 matchs'!Y14</f>
        <v>Betclic</v>
      </c>
      <c r="K15" s="30">
        <f>'Foot à 3 matchs'!$C$2*'Foot à 3 matchs'!$C$3/I15</f>
        <v>0</v>
      </c>
    </row>
    <row r="16" spans="2:12" ht="11.25" customHeight="1" x14ac:dyDescent="0.2">
      <c r="B16" s="33" t="str">
        <f>'Foot à 3 matchs'!C12</f>
        <v>N2</v>
      </c>
      <c r="C16" s="25">
        <f>'Foot à 3 matchs'!L12</f>
        <v>1</v>
      </c>
      <c r="D16" s="25" t="str">
        <f ca="1">'Foot à 3 matchs'!M12</f>
        <v>Betclic</v>
      </c>
      <c r="E16" s="30">
        <f>'Foot à 3 matchs'!$C$2*'Foot à 3 matchs'!$C$3/C16</f>
        <v>0</v>
      </c>
      <c r="H16" s="33" t="str">
        <f>'Foot à 3 matchs'!C12</f>
        <v>N2</v>
      </c>
      <c r="I16" s="25">
        <f>'Foot à 3 matchs'!L12</f>
        <v>1</v>
      </c>
      <c r="J16" s="25" t="str">
        <f ca="1">'Foot à 3 matchs'!M12</f>
        <v>Betclic</v>
      </c>
      <c r="K16" s="30">
        <f>'Foot à 3 matchs'!$C$2*'Foot à 3 matchs'!$C$3/I16</f>
        <v>0</v>
      </c>
    </row>
    <row r="17" spans="2:12" ht="11.25" customHeight="1" x14ac:dyDescent="0.2">
      <c r="B17" s="33">
        <f>'Foot à 3 matchs'!C13</f>
        <v>2</v>
      </c>
      <c r="C17" s="25">
        <f>'Foot à 3 matchs'!L13</f>
        <v>1</v>
      </c>
      <c r="D17" s="25" t="str">
        <f ca="1">'Foot à 3 matchs'!M13</f>
        <v>Betclic</v>
      </c>
      <c r="E17" s="30">
        <f>'Foot à 3 matchs'!$C$2*'Foot à 3 matchs'!$C$3/C17</f>
        <v>0</v>
      </c>
      <c r="H17" s="33">
        <f>'Foot à 3 matchs'!C13</f>
        <v>2</v>
      </c>
      <c r="I17" s="25">
        <f>'Foot à 3 matchs'!L13</f>
        <v>1</v>
      </c>
      <c r="J17" s="25" t="str">
        <f ca="1">'Foot à 3 matchs'!M13</f>
        <v>Betclic</v>
      </c>
      <c r="K17" s="30">
        <f>'Foot à 3 matchs'!$C$2*'Foot à 3 matchs'!$C$3/I17</f>
        <v>0</v>
      </c>
    </row>
    <row r="18" spans="2:12" ht="11.25" customHeight="1" x14ac:dyDescent="0.2">
      <c r="C18" s="27"/>
      <c r="D18" s="26" t="s">
        <v>11</v>
      </c>
      <c r="E18" s="30">
        <f>SUM(E11:E17)</f>
        <v>0</v>
      </c>
      <c r="F18" s="31">
        <f>F11-E18</f>
        <v>0</v>
      </c>
      <c r="H18" s="32"/>
      <c r="I18" s="27"/>
      <c r="J18" s="26" t="s">
        <v>11</v>
      </c>
      <c r="K18" s="30">
        <f>SUM(K11:K17)</f>
        <v>0</v>
      </c>
      <c r="L18" s="31">
        <f>L11-K18</f>
        <v>0</v>
      </c>
    </row>
    <row r="20" spans="2:12" ht="11.25" customHeight="1" x14ac:dyDescent="0.2">
      <c r="B20" s="34" t="str">
        <f>'Foot à 3 matchs'!C6&amp;" &amp; "&amp;'Foot à 3 matchs'!C11&amp;" &amp; "&amp;'Foot à 3 matchs'!C16</f>
        <v>1 &amp; 1 &amp; 1</v>
      </c>
      <c r="C20" s="27" t="str">
        <f>IF('Foot à 3 matchs'!$C$2=0,"",'Foot à 3 matchs'!$C$2)</f>
        <v/>
      </c>
      <c r="D20" s="24" t="s">
        <v>15</v>
      </c>
      <c r="E20" s="37">
        <f>'Foot à 3 matchs'!$C$3</f>
        <v>0</v>
      </c>
      <c r="F20" s="37">
        <f>'Foot à 3 matchs'!$C$2*'Foot à 3 matchs'!$C$3</f>
        <v>0</v>
      </c>
      <c r="H20" s="34" t="str">
        <f>'Foot à 3 matchs'!C6&amp;" &amp; "&amp;'Foot à 3 matchs'!C11&amp;" &amp; "&amp;'Foot à 3 matchs'!C16</f>
        <v>1 &amp; 1 &amp; 1</v>
      </c>
      <c r="I20" s="27" t="str">
        <f>IF('Foot à 3 matchs'!$C$2=0,"",'Foot à 3 matchs'!$C$2)</f>
        <v/>
      </c>
      <c r="J20" s="24" t="s">
        <v>15</v>
      </c>
      <c r="K20" s="37">
        <f>'Foot à 3 matchs'!$C$3</f>
        <v>0</v>
      </c>
      <c r="L20" s="37">
        <f>'Foot à 3 matchs'!$C$2*'Foot à 3 matchs'!$C$3</f>
        <v>0</v>
      </c>
    </row>
    <row r="21" spans="2:12" ht="11.25" customHeight="1" x14ac:dyDescent="0.2">
      <c r="B21" s="33" t="str">
        <f>'Foot à 3 matchs'!O3</f>
        <v>1 &amp; 1 &amp; N3</v>
      </c>
      <c r="C21" s="25">
        <f>'Foot à 3 matchs'!X3</f>
        <v>1</v>
      </c>
      <c r="D21" s="21" t="str">
        <f ca="1">'Foot à 3 matchs'!Y3</f>
        <v>Betclic</v>
      </c>
      <c r="E21" s="30">
        <f t="shared" ref="E21:E26" si="2">$F$2/C21</f>
        <v>0</v>
      </c>
      <c r="H21" s="33" t="str">
        <f>'Foot à 3 matchs'!O8</f>
        <v>1 &amp; N2 &amp; 1</v>
      </c>
      <c r="I21" s="25">
        <f>'Foot à 3 matchs'!X8</f>
        <v>1</v>
      </c>
      <c r="J21" s="21" t="str">
        <f ca="1">'Foot à 3 matchs'!Y8</f>
        <v>Betclic</v>
      </c>
      <c r="K21" s="30">
        <f t="shared" ref="K21:K26" si="3">$F$2/I21</f>
        <v>0</v>
      </c>
    </row>
    <row r="22" spans="2:12" ht="11.25" customHeight="1" x14ac:dyDescent="0.2">
      <c r="B22" s="33" t="str">
        <f>'Foot à 3 matchs'!O4</f>
        <v>1 &amp; 1 &amp; 2</v>
      </c>
      <c r="C22" s="25">
        <f>'Foot à 3 matchs'!X4</f>
        <v>1</v>
      </c>
      <c r="D22" s="21" t="str">
        <f ca="1">'Foot à 3 matchs'!Y4</f>
        <v>Betclic</v>
      </c>
      <c r="E22" s="30">
        <f t="shared" si="2"/>
        <v>0</v>
      </c>
      <c r="H22" s="33" t="str">
        <f>'Foot à 3 matchs'!O9</f>
        <v>1 &amp; 2 &amp; 1</v>
      </c>
      <c r="I22" s="25">
        <f>'Foot à 3 matchs'!X9</f>
        <v>1</v>
      </c>
      <c r="J22" s="21" t="str">
        <f ca="1">'Foot à 3 matchs'!Y9</f>
        <v>Betclic</v>
      </c>
      <c r="K22" s="30">
        <f t="shared" si="3"/>
        <v>0</v>
      </c>
    </row>
    <row r="23" spans="2:12" ht="11.25" customHeight="1" x14ac:dyDescent="0.2">
      <c r="B23" s="33" t="str">
        <f>'Foot à 3 matchs'!O5</f>
        <v>1 &amp; N2</v>
      </c>
      <c r="C23" s="25">
        <f>'Foot à 3 matchs'!X5</f>
        <v>1</v>
      </c>
      <c r="D23" s="21" t="str">
        <f ca="1">'Foot à 3 matchs'!Y5</f>
        <v>Betclic</v>
      </c>
      <c r="E23" s="30">
        <f t="shared" si="2"/>
        <v>0</v>
      </c>
      <c r="H23" s="33" t="str">
        <f>'Foot à 3 matchs'!O10</f>
        <v>1 &amp; N3</v>
      </c>
      <c r="I23" s="25">
        <f>'Foot à 3 matchs'!X10</f>
        <v>1</v>
      </c>
      <c r="J23" s="21" t="str">
        <f ca="1">'Foot à 3 matchs'!Y10</f>
        <v>Betclic</v>
      </c>
      <c r="K23" s="30">
        <f t="shared" si="3"/>
        <v>0</v>
      </c>
    </row>
    <row r="24" spans="2:12" ht="11.25" customHeight="1" x14ac:dyDescent="0.2">
      <c r="B24" s="33" t="str">
        <f>'Foot à 3 matchs'!O6</f>
        <v>1 &amp; 2</v>
      </c>
      <c r="C24" s="25">
        <f>'Foot à 3 matchs'!X6</f>
        <v>1</v>
      </c>
      <c r="D24" s="21" t="str">
        <f ca="1">'Foot à 3 matchs'!Y6</f>
        <v>Betclic</v>
      </c>
      <c r="E24" s="30">
        <f t="shared" si="2"/>
        <v>0</v>
      </c>
      <c r="H24" s="33" t="str">
        <f>'Foot à 3 matchs'!O11</f>
        <v>1 &amp; 2</v>
      </c>
      <c r="I24" s="25">
        <f>'Foot à 3 matchs'!X11</f>
        <v>1</v>
      </c>
      <c r="J24" s="21" t="str">
        <f ca="1">'Foot à 3 matchs'!Y11</f>
        <v>Betclic</v>
      </c>
      <c r="K24" s="30">
        <f t="shared" si="3"/>
        <v>0</v>
      </c>
    </row>
    <row r="25" spans="2:12" ht="11.25" customHeight="1" x14ac:dyDescent="0.2">
      <c r="B25" s="33" t="str">
        <f>'Foot à 3 matchs'!C7</f>
        <v>N1</v>
      </c>
      <c r="C25" s="25">
        <f>'Foot à 3 matchs'!L7</f>
        <v>1</v>
      </c>
      <c r="D25" s="25" t="str">
        <f ca="1">'Foot à 3 matchs'!M7</f>
        <v>Betclic</v>
      </c>
      <c r="E25" s="30">
        <f t="shared" si="2"/>
        <v>0</v>
      </c>
      <c r="H25" s="33" t="str">
        <f>'Foot à 3 matchs'!C7</f>
        <v>N1</v>
      </c>
      <c r="I25" s="25">
        <f>'Foot à 3 matchs'!L7</f>
        <v>1</v>
      </c>
      <c r="J25" s="25" t="str">
        <f ca="1">'Foot à 3 matchs'!M7</f>
        <v>Betclic</v>
      </c>
      <c r="K25" s="30">
        <f t="shared" si="3"/>
        <v>0</v>
      </c>
    </row>
    <row r="26" spans="2:12" ht="11.25" customHeight="1" x14ac:dyDescent="0.2">
      <c r="B26" s="33">
        <f>'Foot à 3 matchs'!C8</f>
        <v>2</v>
      </c>
      <c r="C26" s="25">
        <f>'Foot à 3 matchs'!L8</f>
        <v>1</v>
      </c>
      <c r="D26" s="25" t="str">
        <f ca="1">'Foot à 3 matchs'!M8</f>
        <v>Betclic</v>
      </c>
      <c r="E26" s="30">
        <f t="shared" si="2"/>
        <v>0</v>
      </c>
      <c r="H26" s="33">
        <f>'Foot à 3 matchs'!C8</f>
        <v>2</v>
      </c>
      <c r="I26" s="25">
        <f>'Foot à 3 matchs'!L8</f>
        <v>1</v>
      </c>
      <c r="J26" s="25" t="str">
        <f ca="1">'Foot à 3 matchs'!M8</f>
        <v>Betclic</v>
      </c>
      <c r="K26" s="30">
        <f t="shared" si="3"/>
        <v>0</v>
      </c>
    </row>
    <row r="27" spans="2:12" ht="11.25" customHeight="1" x14ac:dyDescent="0.2">
      <c r="D27" s="26" t="s">
        <v>11</v>
      </c>
      <c r="E27" s="30">
        <f>SUM(E20:E26)</f>
        <v>0</v>
      </c>
      <c r="F27" s="31">
        <f>F20-E27</f>
        <v>0</v>
      </c>
      <c r="J27" s="26" t="s">
        <v>11</v>
      </c>
      <c r="K27" s="30">
        <f>SUM(K20:K26)</f>
        <v>0</v>
      </c>
      <c r="L27" s="31">
        <f>L20-K27</f>
        <v>0</v>
      </c>
    </row>
  </sheetData>
  <conditionalFormatting sqref="F27 F18 F9 L27 L18 L9">
    <cfRule type="cellIs" dxfId="16" priority="2" operator="equal">
      <formula>MAX($F$9,$F$18,$F$27,$L$27,$L$18,$L$9)</formula>
    </cfRule>
  </conditionalFormatting>
  <conditionalFormatting sqref="L27 L18 L9 F27 F18 F9">
    <cfRule type="cellIs" dxfId="15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C58D2-FE6E-42DE-A960-0748EE4A1E2D}">
  <sheetPr codeName="Feuil5"/>
  <dimension ref="B2:AE55"/>
  <sheetViews>
    <sheetView zoomScale="141" zoomScaleNormal="145" workbookViewId="0">
      <selection activeCell="C2" sqref="C2"/>
    </sheetView>
  </sheetViews>
  <sheetFormatPr baseColWidth="10" defaultColWidth="15.85546875" defaultRowHeight="17.25" customHeight="1" x14ac:dyDescent="0.2"/>
  <cols>
    <col min="1" max="1" width="16.85546875" style="17" customWidth="1"/>
    <col min="2" max="2" width="11.140625" style="17" bestFit="1" customWidth="1"/>
    <col min="3" max="3" width="22" style="17" customWidth="1"/>
    <col min="4" max="10" width="15.85546875" style="17"/>
    <col min="11" max="11" width="54" style="17" customWidth="1"/>
    <col min="12" max="12" width="15.85546875" style="17"/>
    <col min="13" max="13" width="15.85546875" style="20"/>
    <col min="14" max="14" width="15.85546875" style="17"/>
    <col min="15" max="15" width="44.140625" style="17" customWidth="1"/>
    <col min="16" max="22" width="15.85546875" style="17"/>
    <col min="23" max="23" width="4.5703125" style="17" customWidth="1"/>
    <col min="24" max="24" width="15.85546875" style="17"/>
    <col min="25" max="25" width="15.85546875" style="20"/>
    <col min="26" max="16384" width="15.85546875" style="17"/>
  </cols>
  <sheetData>
    <row r="2" spans="2:26" ht="17.25" customHeight="1" x14ac:dyDescent="0.2">
      <c r="B2" s="84" t="s">
        <v>30</v>
      </c>
      <c r="C2" s="95"/>
      <c r="D2" s="84"/>
      <c r="E2" s="84"/>
      <c r="F2" s="84"/>
      <c r="G2" s="84"/>
      <c r="H2" s="84"/>
      <c r="I2" s="84"/>
      <c r="J2" s="84"/>
      <c r="M2" s="17"/>
      <c r="N2" s="20"/>
      <c r="O2" s="17" t="s">
        <v>27</v>
      </c>
      <c r="P2" s="17" t="str">
        <f>D5</f>
        <v>Betclic</v>
      </c>
      <c r="Q2" s="17" t="str">
        <f t="shared" ref="Q2:V2" si="0">E5</f>
        <v>Unibet</v>
      </c>
      <c r="R2" s="17" t="str">
        <f t="shared" si="0"/>
        <v>Winamax</v>
      </c>
      <c r="S2" s="17" t="str">
        <f t="shared" si="0"/>
        <v>PMU</v>
      </c>
      <c r="T2" s="17" t="str">
        <f t="shared" si="0"/>
        <v>NetBet</v>
      </c>
      <c r="U2" s="17" t="str">
        <f t="shared" si="0"/>
        <v>ParionsSport</v>
      </c>
      <c r="V2" s="17" t="str">
        <f t="shared" si="0"/>
        <v>PokerStars</v>
      </c>
      <c r="X2" s="17" t="s">
        <v>25</v>
      </c>
      <c r="Y2" s="17" t="s">
        <v>24</v>
      </c>
      <c r="Z2" s="20"/>
    </row>
    <row r="3" spans="2:26" ht="17.25" customHeight="1" x14ac:dyDescent="0.2">
      <c r="B3" s="84" t="s">
        <v>31</v>
      </c>
      <c r="C3" s="96"/>
      <c r="D3" s="84"/>
      <c r="E3" s="84"/>
      <c r="F3" s="84"/>
      <c r="G3" s="84"/>
      <c r="H3" s="84"/>
      <c r="I3" s="84"/>
      <c r="J3" s="84"/>
      <c r="M3" s="17"/>
      <c r="O3" s="17" t="str">
        <f>$C$6&amp;" &amp; "&amp;$C$11&amp;" &amp; "&amp;C17</f>
        <v>1 &amp; 1 &amp; N3</v>
      </c>
      <c r="P3" s="18">
        <f>D6*D11*D17</f>
        <v>1</v>
      </c>
      <c r="Q3" s="18">
        <f t="shared" ref="Q3:V3" si="1">E6*E11*E17</f>
        <v>1</v>
      </c>
      <c r="R3" s="18">
        <f t="shared" si="1"/>
        <v>1</v>
      </c>
      <c r="S3" s="18">
        <f t="shared" si="1"/>
        <v>1</v>
      </c>
      <c r="T3" s="18">
        <f t="shared" si="1"/>
        <v>1</v>
      </c>
      <c r="U3" s="18">
        <f t="shared" si="1"/>
        <v>1</v>
      </c>
      <c r="V3" s="18">
        <f t="shared" si="1"/>
        <v>1</v>
      </c>
      <c r="X3" s="18">
        <f>MAX(P3:V3)</f>
        <v>1</v>
      </c>
      <c r="Y3" s="17" t="str">
        <f ca="1">OFFSET(O$2,0,Z3,1,1)</f>
        <v>Betclic</v>
      </c>
      <c r="Z3" s="20">
        <f>MATCH(X3,P3:V3,0)</f>
        <v>1</v>
      </c>
    </row>
    <row r="4" spans="2:26" ht="17.25" customHeight="1" x14ac:dyDescent="0.2">
      <c r="B4" s="84"/>
      <c r="C4" s="84"/>
      <c r="D4" s="84"/>
      <c r="E4" s="84"/>
      <c r="F4" s="84"/>
      <c r="G4" s="84"/>
      <c r="H4" s="84"/>
      <c r="I4" s="84"/>
      <c r="J4" s="84"/>
      <c r="M4" s="17"/>
      <c r="O4" s="17" t="str">
        <f>$C$6&amp;" &amp; "&amp;$C$11&amp;" &amp; "&amp;C18</f>
        <v>1 &amp; 1 &amp; 2</v>
      </c>
      <c r="P4" s="18">
        <f>D6*D11*D18</f>
        <v>1</v>
      </c>
      <c r="Q4" s="18">
        <f t="shared" ref="Q4:V4" si="2">E6*E11*E18</f>
        <v>1</v>
      </c>
      <c r="R4" s="18">
        <f t="shared" si="2"/>
        <v>1</v>
      </c>
      <c r="S4" s="18">
        <f t="shared" si="2"/>
        <v>1</v>
      </c>
      <c r="T4" s="18">
        <f t="shared" si="2"/>
        <v>1</v>
      </c>
      <c r="U4" s="18">
        <f t="shared" si="2"/>
        <v>1</v>
      </c>
      <c r="V4" s="18">
        <f t="shared" si="2"/>
        <v>1</v>
      </c>
      <c r="X4" s="18">
        <f>MAX(P4:V4)</f>
        <v>1</v>
      </c>
      <c r="Y4" s="17" t="str">
        <f ca="1">OFFSET(O$2,0,Z4,1,1)</f>
        <v>Betclic</v>
      </c>
      <c r="Z4" s="20">
        <f>MATCH(X4,P4:V4,0)</f>
        <v>1</v>
      </c>
    </row>
    <row r="5" spans="2:26" ht="17.25" customHeight="1" x14ac:dyDescent="0.2">
      <c r="B5" s="84" t="s">
        <v>16</v>
      </c>
      <c r="C5" s="84" t="s">
        <v>22</v>
      </c>
      <c r="D5" s="84" t="s">
        <v>8</v>
      </c>
      <c r="E5" s="84" t="s">
        <v>7</v>
      </c>
      <c r="F5" s="84" t="s">
        <v>9</v>
      </c>
      <c r="G5" s="84" t="s">
        <v>10</v>
      </c>
      <c r="H5" s="84" t="s">
        <v>13</v>
      </c>
      <c r="I5" s="84" t="s">
        <v>12</v>
      </c>
      <c r="J5" s="84" t="s">
        <v>14</v>
      </c>
      <c r="L5" s="17" t="s">
        <v>25</v>
      </c>
      <c r="M5" s="17" t="s">
        <v>24</v>
      </c>
      <c r="O5" s="17" t="str">
        <f>$C$6&amp;" &amp; "&amp;$C12</f>
        <v>1 &amp; N2</v>
      </c>
      <c r="P5" s="18">
        <f>D6*D12</f>
        <v>1</v>
      </c>
      <c r="Q5" s="18">
        <f t="shared" ref="Q5:V5" si="3">E6*E12</f>
        <v>1</v>
      </c>
      <c r="R5" s="18">
        <f t="shared" si="3"/>
        <v>1</v>
      </c>
      <c r="S5" s="18">
        <f t="shared" si="3"/>
        <v>1</v>
      </c>
      <c r="T5" s="18">
        <f t="shared" si="3"/>
        <v>1</v>
      </c>
      <c r="U5" s="18">
        <f t="shared" si="3"/>
        <v>1</v>
      </c>
      <c r="V5" s="18">
        <f t="shared" si="3"/>
        <v>1</v>
      </c>
      <c r="X5" s="18">
        <f>MAX(P5:V5)</f>
        <v>1</v>
      </c>
      <c r="Y5" s="17" t="str">
        <f ca="1">OFFSET(O$2,0,Z5,1,1)</f>
        <v>Betclic</v>
      </c>
      <c r="Z5" s="20">
        <f>MATCH(X5,P5:V5,0)</f>
        <v>1</v>
      </c>
    </row>
    <row r="6" spans="2:26" ht="17.25" customHeight="1" x14ac:dyDescent="0.2">
      <c r="B6" s="84" t="s">
        <v>18</v>
      </c>
      <c r="C6" s="84">
        <v>1</v>
      </c>
      <c r="D6" s="97">
        <v>1</v>
      </c>
      <c r="E6" s="97">
        <v>1</v>
      </c>
      <c r="F6" s="97">
        <v>1</v>
      </c>
      <c r="G6" s="97">
        <v>1</v>
      </c>
      <c r="H6" s="97">
        <v>1</v>
      </c>
      <c r="I6" s="97">
        <v>1</v>
      </c>
      <c r="J6" s="97">
        <v>1</v>
      </c>
      <c r="K6" s="19"/>
      <c r="L6" s="19">
        <f>MAX(D6:J6)</f>
        <v>1</v>
      </c>
      <c r="M6" s="17" t="str">
        <f ca="1">OFFSET(C$5,0,N6,1,1)</f>
        <v>Betclic</v>
      </c>
      <c r="N6" s="20">
        <f>MATCH(L6,D6:J6,0)</f>
        <v>1</v>
      </c>
      <c r="O6" s="17" t="str">
        <f>$C$6&amp;" &amp; "&amp;$C13</f>
        <v>1 &amp; 2</v>
      </c>
      <c r="P6" s="18">
        <f>D6*D13</f>
        <v>1</v>
      </c>
      <c r="Q6" s="18">
        <f t="shared" ref="Q6:V6" si="4">E6*E13</f>
        <v>1</v>
      </c>
      <c r="R6" s="18">
        <f t="shared" si="4"/>
        <v>1</v>
      </c>
      <c r="S6" s="18">
        <f t="shared" si="4"/>
        <v>1</v>
      </c>
      <c r="T6" s="18">
        <f t="shared" si="4"/>
        <v>1</v>
      </c>
      <c r="U6" s="18">
        <f t="shared" si="4"/>
        <v>1</v>
      </c>
      <c r="V6" s="18">
        <f t="shared" si="4"/>
        <v>1</v>
      </c>
      <c r="X6" s="18">
        <f>MAX(P6:V6)</f>
        <v>1</v>
      </c>
      <c r="Y6" s="17" t="str">
        <f ca="1">OFFSET(O$2,0,Z6,1,1)</f>
        <v>Betclic</v>
      </c>
      <c r="Z6" s="20">
        <f>MATCH(X6,P6:V6,0)</f>
        <v>1</v>
      </c>
    </row>
    <row r="7" spans="2:26" ht="17.25" customHeight="1" x14ac:dyDescent="0.2">
      <c r="B7" s="84" t="s">
        <v>19</v>
      </c>
      <c r="C7" s="84" t="s">
        <v>28</v>
      </c>
      <c r="D7" s="97">
        <v>1</v>
      </c>
      <c r="E7" s="97">
        <v>1</v>
      </c>
      <c r="F7" s="97">
        <v>1</v>
      </c>
      <c r="G7" s="97">
        <v>1</v>
      </c>
      <c r="H7" s="97">
        <v>1</v>
      </c>
      <c r="I7" s="97">
        <v>1</v>
      </c>
      <c r="J7" s="97">
        <v>1</v>
      </c>
      <c r="K7" s="19"/>
      <c r="L7" s="19">
        <f>MAX(D7:J7)</f>
        <v>1</v>
      </c>
      <c r="M7" s="17" t="str">
        <f ca="1">OFFSET(C$5,0,N7,1,1)</f>
        <v>Betclic</v>
      </c>
      <c r="N7" s="20">
        <f>MATCH(L7,D7:J7,0)</f>
        <v>1</v>
      </c>
      <c r="P7" s="18"/>
      <c r="Q7" s="18"/>
      <c r="R7" s="18"/>
      <c r="S7" s="18"/>
      <c r="T7" s="18"/>
      <c r="U7" s="18"/>
      <c r="V7" s="18"/>
      <c r="Y7" s="17"/>
      <c r="Z7" s="20"/>
    </row>
    <row r="8" spans="2:26" ht="17.25" customHeight="1" x14ac:dyDescent="0.2">
      <c r="B8" s="84" t="s">
        <v>20</v>
      </c>
      <c r="C8" s="84">
        <v>2</v>
      </c>
      <c r="D8" s="97">
        <v>1</v>
      </c>
      <c r="E8" s="97">
        <v>1</v>
      </c>
      <c r="F8" s="97">
        <v>1</v>
      </c>
      <c r="G8" s="97">
        <v>1</v>
      </c>
      <c r="H8" s="97">
        <v>1</v>
      </c>
      <c r="I8" s="97">
        <v>1</v>
      </c>
      <c r="J8" s="97">
        <v>1</v>
      </c>
      <c r="K8" s="19"/>
      <c r="L8" s="19">
        <f>MAX(D8:J8)</f>
        <v>1</v>
      </c>
      <c r="M8" s="17" t="str">
        <f ca="1">OFFSET(C$5,0,N8,1,1)</f>
        <v>Betclic</v>
      </c>
      <c r="N8" s="20">
        <f>MATCH(L8,D8:J8,0)</f>
        <v>1</v>
      </c>
      <c r="O8" s="17" t="str">
        <f>$C$6&amp;" &amp; "&amp;$C12&amp;" &amp; "&amp;C$16</f>
        <v>1 &amp; N2 &amp; 1</v>
      </c>
      <c r="P8" s="18">
        <f>D6*D12*D16</f>
        <v>1</v>
      </c>
      <c r="Q8" s="18">
        <f t="shared" ref="Q8:V8" si="5">E6*E12*E16</f>
        <v>1</v>
      </c>
      <c r="R8" s="18">
        <f t="shared" si="5"/>
        <v>1</v>
      </c>
      <c r="S8" s="18">
        <f t="shared" si="5"/>
        <v>1</v>
      </c>
      <c r="T8" s="18">
        <f t="shared" si="5"/>
        <v>1</v>
      </c>
      <c r="U8" s="18">
        <f t="shared" si="5"/>
        <v>1</v>
      </c>
      <c r="V8" s="18">
        <f t="shared" si="5"/>
        <v>1</v>
      </c>
      <c r="X8" s="18">
        <f>MAX(P8:V8)</f>
        <v>1</v>
      </c>
      <c r="Y8" s="17" t="str">
        <f ca="1">OFFSET(O$2,0,Z8,1,1)</f>
        <v>Betclic</v>
      </c>
      <c r="Z8" s="20">
        <f>MATCH(X8,P8:V8,0)</f>
        <v>1</v>
      </c>
    </row>
    <row r="9" spans="2:26" ht="17.25" customHeight="1" x14ac:dyDescent="0.2">
      <c r="B9" s="84"/>
      <c r="C9" s="84"/>
      <c r="D9" s="97"/>
      <c r="E9" s="97"/>
      <c r="F9" s="97"/>
      <c r="G9" s="97"/>
      <c r="H9" s="97"/>
      <c r="I9" s="97"/>
      <c r="J9" s="97"/>
      <c r="K9" s="19"/>
      <c r="L9" s="19"/>
      <c r="M9" s="17"/>
      <c r="N9" s="20"/>
      <c r="O9" s="17" t="str">
        <f>$C$6&amp;" &amp; "&amp;$C13&amp;" &amp; "&amp;C$16</f>
        <v>1 &amp; 2 &amp; 1</v>
      </c>
      <c r="P9" s="18">
        <f>D6*D13*D16</f>
        <v>1</v>
      </c>
      <c r="Q9" s="18">
        <f t="shared" ref="Q9:V9" si="6">E6*E13*E16</f>
        <v>1</v>
      </c>
      <c r="R9" s="18">
        <f t="shared" si="6"/>
        <v>1</v>
      </c>
      <c r="S9" s="18">
        <f t="shared" si="6"/>
        <v>1</v>
      </c>
      <c r="T9" s="18">
        <f t="shared" si="6"/>
        <v>1</v>
      </c>
      <c r="U9" s="18">
        <f t="shared" si="6"/>
        <v>1</v>
      </c>
      <c r="V9" s="18">
        <f t="shared" si="6"/>
        <v>1</v>
      </c>
      <c r="X9" s="18">
        <f>MAX(P9:V9)</f>
        <v>1</v>
      </c>
      <c r="Y9" s="17" t="str">
        <f ca="1">OFFSET(O$2,0,Z9,1,1)</f>
        <v>Betclic</v>
      </c>
      <c r="Z9" s="20">
        <f>MATCH(X9,P9:V9,0)</f>
        <v>1</v>
      </c>
    </row>
    <row r="10" spans="2:26" ht="17.25" customHeight="1" x14ac:dyDescent="0.2">
      <c r="B10" s="84" t="s">
        <v>17</v>
      </c>
      <c r="C10" s="84" t="s">
        <v>22</v>
      </c>
      <c r="D10" s="97"/>
      <c r="E10" s="97"/>
      <c r="F10" s="97"/>
      <c r="G10" s="97"/>
      <c r="H10" s="97"/>
      <c r="I10" s="97"/>
      <c r="J10" s="97"/>
      <c r="K10" s="19"/>
      <c r="L10" s="19"/>
      <c r="M10" s="17"/>
      <c r="N10" s="20"/>
      <c r="O10" s="17" t="str">
        <f>$C$6&amp;" &amp; "&amp;C17</f>
        <v>1 &amp; N3</v>
      </c>
      <c r="P10" s="18">
        <f>D6*D17</f>
        <v>1</v>
      </c>
      <c r="Q10" s="18">
        <f t="shared" ref="Q10:V10" si="7">E6*E17</f>
        <v>1</v>
      </c>
      <c r="R10" s="18">
        <f t="shared" si="7"/>
        <v>1</v>
      </c>
      <c r="S10" s="18">
        <f t="shared" si="7"/>
        <v>1</v>
      </c>
      <c r="T10" s="18">
        <f t="shared" si="7"/>
        <v>1</v>
      </c>
      <c r="U10" s="18">
        <f t="shared" si="7"/>
        <v>1</v>
      </c>
      <c r="V10" s="18">
        <f t="shared" si="7"/>
        <v>1</v>
      </c>
      <c r="X10" s="18">
        <f>MAX(P10:V10)</f>
        <v>1</v>
      </c>
      <c r="Y10" s="17" t="str">
        <f ca="1">OFFSET(O$2,0,Z10,1,1)</f>
        <v>Betclic</v>
      </c>
      <c r="Z10" s="20">
        <f>MATCH(X10,P10:V10,0)</f>
        <v>1</v>
      </c>
    </row>
    <row r="11" spans="2:26" ht="17.25" customHeight="1" x14ac:dyDescent="0.2">
      <c r="B11" s="84" t="s">
        <v>18</v>
      </c>
      <c r="C11" s="84">
        <v>1</v>
      </c>
      <c r="D11" s="97">
        <v>1</v>
      </c>
      <c r="E11" s="97">
        <v>1</v>
      </c>
      <c r="F11" s="97">
        <v>1</v>
      </c>
      <c r="G11" s="97">
        <v>1</v>
      </c>
      <c r="H11" s="97">
        <v>1</v>
      </c>
      <c r="I11" s="97">
        <v>1</v>
      </c>
      <c r="J11" s="97">
        <v>1</v>
      </c>
      <c r="K11" s="19"/>
      <c r="L11" s="19">
        <f>MAX(D11:J11)</f>
        <v>1</v>
      </c>
      <c r="M11" s="17" t="str">
        <f ca="1">OFFSET(C$5,0,N11,1,1)</f>
        <v>Betclic</v>
      </c>
      <c r="N11" s="20">
        <f>MATCH(L11,D11:J11,0)</f>
        <v>1</v>
      </c>
      <c r="O11" s="17" t="str">
        <f>$C$6&amp;" &amp; "&amp;C18</f>
        <v>1 &amp; 2</v>
      </c>
      <c r="P11" s="18">
        <f>D6*D18</f>
        <v>1</v>
      </c>
      <c r="Q11" s="18">
        <f t="shared" ref="Q11:V11" si="8">E6*E18</f>
        <v>1</v>
      </c>
      <c r="R11" s="18">
        <f t="shared" si="8"/>
        <v>1</v>
      </c>
      <c r="S11" s="18">
        <f t="shared" si="8"/>
        <v>1</v>
      </c>
      <c r="T11" s="18">
        <f t="shared" si="8"/>
        <v>1</v>
      </c>
      <c r="U11" s="18">
        <f t="shared" si="8"/>
        <v>1</v>
      </c>
      <c r="V11" s="18">
        <f t="shared" si="8"/>
        <v>1</v>
      </c>
      <c r="X11" s="18">
        <f>MAX(P11:V11)</f>
        <v>1</v>
      </c>
      <c r="Y11" s="17" t="str">
        <f ca="1">OFFSET(O$2,0,Z11,1,1)</f>
        <v>Betclic</v>
      </c>
      <c r="Z11" s="20">
        <f>MATCH(X11,P11:V11,0)</f>
        <v>1</v>
      </c>
    </row>
    <row r="12" spans="2:26" ht="17.25" customHeight="1" x14ac:dyDescent="0.2">
      <c r="B12" s="84" t="s">
        <v>19</v>
      </c>
      <c r="C12" s="84" t="s">
        <v>29</v>
      </c>
      <c r="D12" s="97">
        <v>1</v>
      </c>
      <c r="E12" s="97">
        <v>1</v>
      </c>
      <c r="F12" s="97">
        <v>1</v>
      </c>
      <c r="G12" s="97">
        <v>1</v>
      </c>
      <c r="H12" s="97">
        <v>1</v>
      </c>
      <c r="I12" s="97">
        <v>1</v>
      </c>
      <c r="J12" s="97">
        <v>1</v>
      </c>
      <c r="K12" s="19"/>
      <c r="L12" s="19">
        <f>MAX(D12:J12)</f>
        <v>1</v>
      </c>
      <c r="M12" s="17" t="str">
        <f ca="1">OFFSET(C$5,0,N12,1,1)</f>
        <v>Betclic</v>
      </c>
      <c r="N12" s="20">
        <f>MATCH(L12,D12:J12,0)</f>
        <v>1</v>
      </c>
      <c r="P12" s="18"/>
      <c r="Q12" s="18"/>
      <c r="R12" s="18"/>
      <c r="S12" s="18"/>
      <c r="T12" s="18"/>
      <c r="U12" s="18"/>
      <c r="V12" s="18"/>
      <c r="Y12" s="17"/>
      <c r="Z12" s="20"/>
    </row>
    <row r="13" spans="2:26" ht="17.25" customHeight="1" x14ac:dyDescent="0.2">
      <c r="B13" s="84" t="s">
        <v>20</v>
      </c>
      <c r="C13" s="84">
        <v>2</v>
      </c>
      <c r="D13" s="97">
        <v>1</v>
      </c>
      <c r="E13" s="97">
        <v>1</v>
      </c>
      <c r="F13" s="97">
        <v>1</v>
      </c>
      <c r="G13" s="97">
        <v>1</v>
      </c>
      <c r="H13" s="97">
        <v>1</v>
      </c>
      <c r="I13" s="97">
        <v>1</v>
      </c>
      <c r="J13" s="97">
        <v>1</v>
      </c>
      <c r="K13" s="19"/>
      <c r="L13" s="19">
        <f>MAX(D13:J13)</f>
        <v>1</v>
      </c>
      <c r="M13" s="17" t="str">
        <f ca="1">OFFSET(C$5,0,N13,1,1)</f>
        <v>Betclic</v>
      </c>
      <c r="N13" s="20">
        <f>MATCH(L13,D13:J13,0)</f>
        <v>1</v>
      </c>
      <c r="O13" s="17" t="str">
        <f>C7&amp;" &amp; "&amp;C$11</f>
        <v>N1 &amp; 1</v>
      </c>
      <c r="P13" s="18">
        <f>D7*D11</f>
        <v>1</v>
      </c>
      <c r="Q13" s="18">
        <f t="shared" ref="Q13:V13" si="9">E7*E11</f>
        <v>1</v>
      </c>
      <c r="R13" s="18">
        <f t="shared" si="9"/>
        <v>1</v>
      </c>
      <c r="S13" s="18">
        <f t="shared" si="9"/>
        <v>1</v>
      </c>
      <c r="T13" s="18">
        <f t="shared" si="9"/>
        <v>1</v>
      </c>
      <c r="U13" s="18">
        <f t="shared" si="9"/>
        <v>1</v>
      </c>
      <c r="V13" s="18">
        <f t="shared" si="9"/>
        <v>1</v>
      </c>
      <c r="X13" s="18">
        <f>MAX(P13:V13)</f>
        <v>1</v>
      </c>
      <c r="Y13" s="17" t="str">
        <f ca="1">OFFSET(O$2,0,Z13,1,1)</f>
        <v>Betclic</v>
      </c>
      <c r="Z13" s="20">
        <f>MATCH(X13,P13:V13,0)</f>
        <v>1</v>
      </c>
    </row>
    <row r="14" spans="2:26" ht="17.25" customHeight="1" x14ac:dyDescent="0.2">
      <c r="B14" s="84"/>
      <c r="C14" s="84"/>
      <c r="D14" s="84"/>
      <c r="E14" s="84"/>
      <c r="F14" s="84"/>
      <c r="G14" s="84"/>
      <c r="H14" s="84"/>
      <c r="I14" s="84"/>
      <c r="J14" s="84"/>
      <c r="M14" s="17"/>
      <c r="N14" s="20"/>
      <c r="O14" s="17" t="str">
        <f>C8&amp;" &amp; "&amp;C$11</f>
        <v>2 &amp; 1</v>
      </c>
      <c r="P14" s="18">
        <f>D8*D11</f>
        <v>1</v>
      </c>
      <c r="Q14" s="18">
        <f t="shared" ref="Q14:V14" si="10">E8*E11</f>
        <v>1</v>
      </c>
      <c r="R14" s="18">
        <f t="shared" si="10"/>
        <v>1</v>
      </c>
      <c r="S14" s="18">
        <f t="shared" si="10"/>
        <v>1</v>
      </c>
      <c r="T14" s="18">
        <f t="shared" si="10"/>
        <v>1</v>
      </c>
      <c r="U14" s="18">
        <f t="shared" si="10"/>
        <v>1</v>
      </c>
      <c r="V14" s="18">
        <f t="shared" si="10"/>
        <v>1</v>
      </c>
      <c r="X14" s="18">
        <f>MAX(P14:V14)</f>
        <v>1</v>
      </c>
      <c r="Y14" s="17" t="str">
        <f ca="1">OFFSET(O$2,0,Z14,1,1)</f>
        <v>Betclic</v>
      </c>
      <c r="Z14" s="20">
        <f>MATCH(X14,P14:V14,0)</f>
        <v>1</v>
      </c>
    </row>
    <row r="15" spans="2:26" ht="17.25" customHeight="1" x14ac:dyDescent="0.2">
      <c r="B15" s="84" t="s">
        <v>26</v>
      </c>
      <c r="C15" s="84" t="s">
        <v>22</v>
      </c>
      <c r="D15" s="97"/>
      <c r="E15" s="97"/>
      <c r="F15" s="97"/>
      <c r="G15" s="97"/>
      <c r="H15" s="97"/>
      <c r="I15" s="97"/>
      <c r="J15" s="97"/>
      <c r="K15" s="19"/>
      <c r="L15" s="19"/>
      <c r="M15" s="17"/>
      <c r="N15" s="20"/>
      <c r="P15" s="18"/>
      <c r="Q15" s="18"/>
      <c r="R15" s="18"/>
      <c r="S15" s="18"/>
      <c r="T15" s="18"/>
      <c r="U15" s="18"/>
      <c r="V15" s="18"/>
      <c r="Y15" s="17"/>
      <c r="Z15" s="20"/>
    </row>
    <row r="16" spans="2:26" ht="17.25" customHeight="1" x14ac:dyDescent="0.2">
      <c r="B16" s="84" t="s">
        <v>18</v>
      </c>
      <c r="C16" s="84">
        <v>1</v>
      </c>
      <c r="D16" s="97">
        <v>1</v>
      </c>
      <c r="E16" s="97">
        <v>1</v>
      </c>
      <c r="F16" s="97">
        <v>1</v>
      </c>
      <c r="G16" s="97">
        <v>1</v>
      </c>
      <c r="H16" s="97">
        <v>1</v>
      </c>
      <c r="I16" s="97">
        <v>1</v>
      </c>
      <c r="J16" s="97">
        <v>1</v>
      </c>
      <c r="K16" s="19"/>
      <c r="L16" s="19">
        <f>MAX(D16:J16)</f>
        <v>1</v>
      </c>
      <c r="M16" s="17" t="str">
        <f ca="1">OFFSET(C$5,0,N16,1,1)</f>
        <v>Betclic</v>
      </c>
      <c r="N16" s="20">
        <f>MATCH(L16,D16:J16,0)</f>
        <v>1</v>
      </c>
      <c r="O16" s="17" t="str">
        <f>C7&amp;" &amp; "&amp;C$16</f>
        <v>N1 &amp; 1</v>
      </c>
      <c r="P16" s="18">
        <f>D7*D16</f>
        <v>1</v>
      </c>
      <c r="Q16" s="18">
        <f t="shared" ref="Q16:V16" si="11">E7*E16</f>
        <v>1</v>
      </c>
      <c r="R16" s="18">
        <f t="shared" si="11"/>
        <v>1</v>
      </c>
      <c r="S16" s="18">
        <f t="shared" si="11"/>
        <v>1</v>
      </c>
      <c r="T16" s="18">
        <f t="shared" si="11"/>
        <v>1</v>
      </c>
      <c r="U16" s="18">
        <f t="shared" si="11"/>
        <v>1</v>
      </c>
      <c r="V16" s="18">
        <f t="shared" si="11"/>
        <v>1</v>
      </c>
      <c r="X16" s="18">
        <f>MAX(P16:V16)</f>
        <v>1</v>
      </c>
      <c r="Y16" s="17" t="str">
        <f ca="1">OFFSET(O$2,0,Z16,1,1)</f>
        <v>Betclic</v>
      </c>
      <c r="Z16" s="20">
        <f>MATCH(X16,P16:V16,0)</f>
        <v>1</v>
      </c>
    </row>
    <row r="17" spans="2:31" ht="17.25" customHeight="1" x14ac:dyDescent="0.2">
      <c r="B17" s="84" t="s">
        <v>19</v>
      </c>
      <c r="C17" s="84" t="s">
        <v>39</v>
      </c>
      <c r="D17" s="97">
        <v>1</v>
      </c>
      <c r="E17" s="97">
        <v>1</v>
      </c>
      <c r="F17" s="97">
        <v>1</v>
      </c>
      <c r="G17" s="97">
        <v>1</v>
      </c>
      <c r="H17" s="97">
        <v>1</v>
      </c>
      <c r="I17" s="97">
        <v>1</v>
      </c>
      <c r="J17" s="97">
        <v>1</v>
      </c>
      <c r="K17" s="19"/>
      <c r="L17" s="19">
        <f>MAX(D17:J17)</f>
        <v>1</v>
      </c>
      <c r="M17" s="17" t="str">
        <f ca="1">OFFSET(C$5,0,N17,1,1)</f>
        <v>Betclic</v>
      </c>
      <c r="N17" s="20">
        <f>MATCH(L17,D17:J17,0)</f>
        <v>1</v>
      </c>
      <c r="O17" s="17" t="str">
        <f>C8&amp;" &amp; "&amp;C$16</f>
        <v>2 &amp; 1</v>
      </c>
      <c r="P17" s="18">
        <f>D8*D16</f>
        <v>1</v>
      </c>
      <c r="Q17" s="18">
        <f t="shared" ref="Q17:V17" si="12">E8*E16</f>
        <v>1</v>
      </c>
      <c r="R17" s="18">
        <f t="shared" si="12"/>
        <v>1</v>
      </c>
      <c r="S17" s="18">
        <f t="shared" si="12"/>
        <v>1</v>
      </c>
      <c r="T17" s="18">
        <f t="shared" si="12"/>
        <v>1</v>
      </c>
      <c r="U17" s="18">
        <f t="shared" si="12"/>
        <v>1</v>
      </c>
      <c r="V17" s="18">
        <f t="shared" si="12"/>
        <v>1</v>
      </c>
      <c r="X17" s="18">
        <f>MAX(P17:V17)</f>
        <v>1</v>
      </c>
      <c r="Y17" s="17" t="str">
        <f ca="1">OFFSET(O$2,0,Z17,1,1)</f>
        <v>Betclic</v>
      </c>
      <c r="Z17" s="20">
        <f>MATCH(X17,P17:V17,0)</f>
        <v>1</v>
      </c>
    </row>
    <row r="18" spans="2:31" ht="17.25" customHeight="1" x14ac:dyDescent="0.2">
      <c r="B18" s="84" t="s">
        <v>20</v>
      </c>
      <c r="C18" s="84">
        <v>2</v>
      </c>
      <c r="D18" s="97">
        <v>1</v>
      </c>
      <c r="E18" s="97">
        <v>1</v>
      </c>
      <c r="F18" s="97">
        <v>1</v>
      </c>
      <c r="G18" s="97">
        <v>1</v>
      </c>
      <c r="H18" s="97">
        <v>1</v>
      </c>
      <c r="I18" s="97">
        <v>1</v>
      </c>
      <c r="J18" s="97">
        <v>1</v>
      </c>
      <c r="K18" s="19"/>
      <c r="L18" s="19">
        <f>MAX(D18:J18)</f>
        <v>1</v>
      </c>
      <c r="M18" s="17" t="str">
        <f ca="1">OFFSET(C$5,0,N18,1,1)</f>
        <v>Betclic</v>
      </c>
      <c r="N18" s="20">
        <f>MATCH(L18,D18:J18,0)</f>
        <v>1</v>
      </c>
      <c r="P18" s="18"/>
      <c r="Q18" s="18"/>
      <c r="R18" s="18"/>
      <c r="S18" s="18"/>
      <c r="T18" s="18"/>
      <c r="U18" s="18"/>
      <c r="V18" s="18"/>
      <c r="Y18" s="17"/>
      <c r="Z18" s="20"/>
    </row>
    <row r="19" spans="2:31" ht="17.25" customHeight="1" x14ac:dyDescent="0.2">
      <c r="M19" s="17"/>
      <c r="N19" s="20"/>
      <c r="O19" s="17" t="str">
        <f>C7&amp;" &amp; "&amp;C$11&amp;" &amp; "&amp;C$16</f>
        <v>N1 &amp; 1 &amp; 1</v>
      </c>
      <c r="P19" s="18">
        <f>D7*D11*D16</f>
        <v>1</v>
      </c>
      <c r="Q19" s="18">
        <f t="shared" ref="Q19:V19" si="13">E7*E11*E16</f>
        <v>1</v>
      </c>
      <c r="R19" s="18">
        <f t="shared" si="13"/>
        <v>1</v>
      </c>
      <c r="S19" s="18">
        <f t="shared" si="13"/>
        <v>1</v>
      </c>
      <c r="T19" s="18">
        <f t="shared" si="13"/>
        <v>1</v>
      </c>
      <c r="U19" s="18">
        <f t="shared" si="13"/>
        <v>1</v>
      </c>
      <c r="V19" s="18">
        <f t="shared" si="13"/>
        <v>1</v>
      </c>
      <c r="X19" s="18">
        <f>MAX(P19:V19)</f>
        <v>1</v>
      </c>
      <c r="Y19" s="17" t="str">
        <f ca="1">OFFSET(O$2,0,Z19,1,1)</f>
        <v>Betclic</v>
      </c>
      <c r="Z19" s="20">
        <f>MATCH(X19,P19:V19,0)</f>
        <v>1</v>
      </c>
    </row>
    <row r="20" spans="2:31" ht="17.25" customHeight="1" x14ac:dyDescent="0.2">
      <c r="B20" s="20"/>
      <c r="M20" s="17"/>
      <c r="N20" s="20"/>
      <c r="O20" s="17" t="str">
        <f>C8&amp;" &amp; "&amp;C$11&amp;" &amp; "&amp;C$16</f>
        <v>2 &amp; 1 &amp; 1</v>
      </c>
      <c r="P20" s="18">
        <f>D8*D11*D16</f>
        <v>1</v>
      </c>
      <c r="Q20" s="18">
        <f t="shared" ref="Q20:V20" si="14">E8*E11*E16</f>
        <v>1</v>
      </c>
      <c r="R20" s="18">
        <f t="shared" si="14"/>
        <v>1</v>
      </c>
      <c r="S20" s="18">
        <f t="shared" si="14"/>
        <v>1</v>
      </c>
      <c r="T20" s="18">
        <f t="shared" si="14"/>
        <v>1</v>
      </c>
      <c r="U20" s="18">
        <f t="shared" si="14"/>
        <v>1</v>
      </c>
      <c r="V20" s="18">
        <f t="shared" si="14"/>
        <v>1</v>
      </c>
      <c r="X20" s="18">
        <f>MAX(P20:V20)</f>
        <v>1</v>
      </c>
      <c r="Y20" s="17" t="str">
        <f ca="1">OFFSET(O$2,0,Z20,1,1)</f>
        <v>Betclic</v>
      </c>
      <c r="Z20" s="20">
        <f>MATCH(X20,P20:V20,0)</f>
        <v>1</v>
      </c>
    </row>
    <row r="21" spans="2:31" ht="17.25" customHeight="1" x14ac:dyDescent="0.2">
      <c r="M21" s="17"/>
      <c r="N21" s="20"/>
      <c r="O21" s="17" t="str">
        <f>C$11&amp;" &amp; "&amp;C17</f>
        <v>1 &amp; N3</v>
      </c>
      <c r="P21" s="18">
        <f>D11*D17</f>
        <v>1</v>
      </c>
      <c r="Q21" s="18">
        <f t="shared" ref="Q21:V21" si="15">E11*E17</f>
        <v>1</v>
      </c>
      <c r="R21" s="18">
        <f t="shared" si="15"/>
        <v>1</v>
      </c>
      <c r="S21" s="18">
        <f t="shared" si="15"/>
        <v>1</v>
      </c>
      <c r="T21" s="18">
        <f t="shared" si="15"/>
        <v>1</v>
      </c>
      <c r="U21" s="18">
        <f t="shared" si="15"/>
        <v>1</v>
      </c>
      <c r="V21" s="18">
        <f t="shared" si="15"/>
        <v>1</v>
      </c>
      <c r="X21" s="18">
        <f>MAX(P21:V21)</f>
        <v>1</v>
      </c>
      <c r="Y21" s="17" t="str">
        <f ca="1">OFFSET(O$2,0,Z21,1,1)</f>
        <v>Betclic</v>
      </c>
      <c r="Z21" s="20">
        <f>MATCH(X21,P21:V21,0)</f>
        <v>1</v>
      </c>
    </row>
    <row r="22" spans="2:31" ht="17.25" customHeight="1" x14ac:dyDescent="0.2">
      <c r="M22" s="17"/>
      <c r="N22" s="20"/>
      <c r="O22" s="17" t="str">
        <f>C$11&amp;" &amp; "&amp;C18</f>
        <v>1 &amp; 2</v>
      </c>
      <c r="P22" s="18">
        <f>D11*D18</f>
        <v>1</v>
      </c>
      <c r="Q22" s="18">
        <f t="shared" ref="Q22:V22" si="16">E11*E18</f>
        <v>1</v>
      </c>
      <c r="R22" s="18">
        <f t="shared" si="16"/>
        <v>1</v>
      </c>
      <c r="S22" s="18">
        <f t="shared" si="16"/>
        <v>1</v>
      </c>
      <c r="T22" s="18">
        <f t="shared" si="16"/>
        <v>1</v>
      </c>
      <c r="U22" s="18">
        <f t="shared" si="16"/>
        <v>1</v>
      </c>
      <c r="V22" s="18">
        <f t="shared" si="16"/>
        <v>1</v>
      </c>
      <c r="X22" s="18">
        <f>MAX(P22:V22)</f>
        <v>1</v>
      </c>
      <c r="Y22" s="17" t="str">
        <f ca="1">OFFSET(O$2,0,Z22,1,1)</f>
        <v>Betclic</v>
      </c>
      <c r="Z22" s="20">
        <f>MATCH(X22,P22:V22,0)</f>
        <v>1</v>
      </c>
    </row>
    <row r="23" spans="2:31" ht="17.25" customHeight="1" x14ac:dyDescent="0.2">
      <c r="M23" s="17"/>
      <c r="N23" s="20"/>
      <c r="P23" s="18"/>
      <c r="Q23" s="18"/>
      <c r="R23" s="18"/>
      <c r="S23" s="18"/>
      <c r="T23" s="18"/>
      <c r="U23" s="18"/>
      <c r="V23" s="18"/>
      <c r="Y23" s="17"/>
      <c r="Z23" s="20"/>
    </row>
    <row r="24" spans="2:31" ht="17.25" customHeight="1" x14ac:dyDescent="0.2">
      <c r="M24" s="17"/>
      <c r="O24" s="17" t="str">
        <f>C12&amp;" &amp; "&amp;C$16</f>
        <v>N2 &amp; 1</v>
      </c>
      <c r="P24" s="18">
        <f>D12*D16</f>
        <v>1</v>
      </c>
      <c r="Q24" s="18">
        <f t="shared" ref="Q24:V24" si="17">E12*E16</f>
        <v>1</v>
      </c>
      <c r="R24" s="18">
        <f t="shared" si="17"/>
        <v>1</v>
      </c>
      <c r="S24" s="18">
        <f t="shared" si="17"/>
        <v>1</v>
      </c>
      <c r="T24" s="18">
        <f t="shared" si="17"/>
        <v>1</v>
      </c>
      <c r="U24" s="18">
        <f t="shared" si="17"/>
        <v>1</v>
      </c>
      <c r="V24" s="18">
        <f t="shared" si="17"/>
        <v>1</v>
      </c>
      <c r="X24" s="18">
        <f>MAX(P24:V24)</f>
        <v>1</v>
      </c>
      <c r="Y24" s="17" t="str">
        <f ca="1">OFFSET(O$2,0,Z24,1,1)</f>
        <v>Betclic</v>
      </c>
      <c r="Z24" s="20">
        <f>MATCH(X24,P24:V24,0)</f>
        <v>1</v>
      </c>
    </row>
    <row r="25" spans="2:31" ht="17.25" customHeight="1" x14ac:dyDescent="0.2">
      <c r="M25" s="17"/>
      <c r="O25" s="17" t="str">
        <f>C13&amp;" &amp; "&amp;C$16</f>
        <v>2 &amp; 1</v>
      </c>
      <c r="P25" s="18">
        <f>D13*D16</f>
        <v>1</v>
      </c>
      <c r="Q25" s="18">
        <f t="shared" ref="Q25:V25" si="18">E13*E16</f>
        <v>1</v>
      </c>
      <c r="R25" s="18">
        <f t="shared" si="18"/>
        <v>1</v>
      </c>
      <c r="S25" s="18">
        <f t="shared" si="18"/>
        <v>1</v>
      </c>
      <c r="T25" s="18">
        <f t="shared" si="18"/>
        <v>1</v>
      </c>
      <c r="U25" s="18">
        <f t="shared" si="18"/>
        <v>1</v>
      </c>
      <c r="V25" s="18">
        <f t="shared" si="18"/>
        <v>1</v>
      </c>
      <c r="X25" s="18">
        <f>MAX(P25:V25)</f>
        <v>1</v>
      </c>
      <c r="Y25" s="17" t="str">
        <f ca="1">OFFSET(O$2,0,Z25,1,1)</f>
        <v>Betclic</v>
      </c>
      <c r="Z25" s="20">
        <f>MATCH(X25,P25:V25,0)</f>
        <v>1</v>
      </c>
    </row>
    <row r="26" spans="2:31" ht="17.25" customHeight="1" x14ac:dyDescent="0.2">
      <c r="M26" s="17"/>
      <c r="Q26" s="19"/>
      <c r="S26" s="20"/>
      <c r="T26" s="20"/>
      <c r="U26" s="20"/>
      <c r="Y26" s="17"/>
      <c r="AE26" s="20"/>
    </row>
    <row r="27" spans="2:31" ht="17.25" customHeight="1" x14ac:dyDescent="0.2">
      <c r="M27" s="17"/>
      <c r="S27" s="20"/>
      <c r="T27" s="20"/>
      <c r="U27" s="20"/>
      <c r="Y27" s="17"/>
      <c r="AE27" s="20"/>
    </row>
    <row r="28" spans="2:31" ht="17.25" customHeight="1" x14ac:dyDescent="0.2">
      <c r="M28" s="17"/>
      <c r="S28" s="20"/>
      <c r="T28" s="20"/>
      <c r="U28" s="20"/>
      <c r="Y28" s="17"/>
      <c r="AE28" s="20"/>
    </row>
    <row r="29" spans="2:31" ht="17.25" customHeight="1" x14ac:dyDescent="0.2">
      <c r="M29" s="17"/>
      <c r="S29" s="20"/>
      <c r="T29" s="20"/>
      <c r="U29" s="20"/>
      <c r="Y29" s="17"/>
      <c r="AE29" s="20"/>
    </row>
    <row r="30" spans="2:31" ht="17.25" customHeight="1" x14ac:dyDescent="0.2">
      <c r="M30" s="17"/>
      <c r="S30" s="20"/>
      <c r="T30" s="20"/>
      <c r="U30" s="20"/>
      <c r="Y30" s="17"/>
      <c r="AE30" s="20"/>
    </row>
    <row r="31" spans="2:31" ht="17.25" customHeight="1" x14ac:dyDescent="0.2">
      <c r="M31" s="17"/>
      <c r="S31" s="20"/>
      <c r="T31" s="20"/>
      <c r="U31" s="20"/>
      <c r="Y31" s="17"/>
      <c r="AE31" s="20"/>
    </row>
    <row r="32" spans="2:31" ht="17.25" customHeight="1" x14ac:dyDescent="0.2">
      <c r="M32" s="17"/>
      <c r="S32" s="20"/>
      <c r="T32" s="20"/>
      <c r="U32" s="20"/>
      <c r="Y32" s="17"/>
      <c r="AE32" s="20"/>
    </row>
    <row r="33" spans="13:31" ht="17.25" customHeight="1" x14ac:dyDescent="0.2">
      <c r="M33" s="17"/>
      <c r="S33" s="20"/>
      <c r="T33" s="20"/>
      <c r="U33" s="20"/>
      <c r="Y33" s="17"/>
      <c r="AE33" s="20"/>
    </row>
    <row r="34" spans="13:31" ht="17.25" customHeight="1" x14ac:dyDescent="0.2">
      <c r="M34" s="17"/>
      <c r="S34" s="20"/>
      <c r="T34" s="20"/>
      <c r="U34" s="20"/>
      <c r="Y34" s="17"/>
      <c r="AE34" s="20"/>
    </row>
    <row r="35" spans="13:31" ht="17.25" customHeight="1" x14ac:dyDescent="0.2">
      <c r="M35" s="17"/>
      <c r="S35" s="20"/>
      <c r="T35" s="20"/>
      <c r="U35" s="20"/>
      <c r="Y35" s="17"/>
      <c r="AE35" s="20"/>
    </row>
    <row r="36" spans="13:31" ht="17.25" customHeight="1" x14ac:dyDescent="0.2">
      <c r="M36" s="17"/>
      <c r="S36" s="20"/>
      <c r="T36" s="20"/>
      <c r="U36" s="20"/>
      <c r="Y36" s="17"/>
      <c r="AE36" s="20"/>
    </row>
    <row r="37" spans="13:31" ht="17.25" customHeight="1" x14ac:dyDescent="0.2">
      <c r="M37" s="17"/>
      <c r="S37" s="20"/>
      <c r="T37" s="20"/>
      <c r="U37" s="20"/>
      <c r="Y37" s="17"/>
      <c r="AE37" s="20"/>
    </row>
    <row r="38" spans="13:31" ht="17.25" customHeight="1" x14ac:dyDescent="0.2">
      <c r="M38" s="17"/>
      <c r="S38" s="20"/>
      <c r="T38" s="20"/>
      <c r="U38" s="20"/>
      <c r="Y38" s="17"/>
      <c r="AE38" s="20"/>
    </row>
    <row r="39" spans="13:31" ht="17.25" customHeight="1" x14ac:dyDescent="0.2">
      <c r="M39" s="17"/>
      <c r="S39" s="20"/>
      <c r="T39" s="20"/>
      <c r="U39" s="20"/>
      <c r="Y39" s="17"/>
      <c r="AE39" s="20"/>
    </row>
    <row r="40" spans="13:31" ht="17.25" customHeight="1" x14ac:dyDescent="0.2">
      <c r="M40" s="17"/>
      <c r="S40" s="20"/>
      <c r="T40" s="20"/>
      <c r="U40" s="20"/>
      <c r="Y40" s="17"/>
      <c r="AE40" s="20"/>
    </row>
    <row r="41" spans="13:31" ht="17.25" customHeight="1" x14ac:dyDescent="0.2">
      <c r="M41" s="17"/>
      <c r="S41" s="20"/>
      <c r="T41" s="20"/>
      <c r="U41" s="20"/>
      <c r="Y41" s="17"/>
      <c r="AE41" s="20"/>
    </row>
    <row r="42" spans="13:31" ht="17.25" customHeight="1" x14ac:dyDescent="0.2">
      <c r="M42" s="17"/>
      <c r="S42" s="20"/>
      <c r="T42" s="20"/>
      <c r="U42" s="20"/>
      <c r="Y42" s="17"/>
      <c r="AE42" s="20"/>
    </row>
    <row r="43" spans="13:31" ht="17.25" customHeight="1" x14ac:dyDescent="0.2">
      <c r="M43" s="17"/>
      <c r="S43" s="20"/>
      <c r="T43" s="20"/>
      <c r="U43" s="20"/>
      <c r="Y43" s="17"/>
      <c r="AE43" s="20"/>
    </row>
    <row r="44" spans="13:31" ht="17.25" customHeight="1" x14ac:dyDescent="0.2">
      <c r="M44" s="17"/>
      <c r="S44" s="20"/>
      <c r="T44" s="20"/>
      <c r="U44" s="20"/>
      <c r="Y44" s="17"/>
      <c r="AE44" s="20"/>
    </row>
    <row r="45" spans="13:31" ht="17.25" customHeight="1" x14ac:dyDescent="0.2">
      <c r="M45" s="17"/>
      <c r="S45" s="20"/>
      <c r="T45" s="20"/>
      <c r="U45" s="20"/>
      <c r="Y45" s="17"/>
      <c r="AE45" s="20"/>
    </row>
    <row r="46" spans="13:31" ht="17.25" customHeight="1" x14ac:dyDescent="0.2">
      <c r="M46" s="17"/>
      <c r="S46" s="20"/>
      <c r="T46" s="20"/>
      <c r="U46" s="20"/>
      <c r="Y46" s="17"/>
      <c r="AE46" s="20"/>
    </row>
    <row r="47" spans="13:31" ht="17.25" customHeight="1" x14ac:dyDescent="0.2">
      <c r="M47" s="17"/>
      <c r="S47" s="20"/>
      <c r="T47" s="20"/>
      <c r="U47" s="20"/>
      <c r="Y47" s="17"/>
      <c r="AE47" s="20"/>
    </row>
    <row r="48" spans="13:31" ht="17.25" customHeight="1" x14ac:dyDescent="0.2">
      <c r="M48" s="17"/>
      <c r="S48" s="20"/>
      <c r="T48" s="20"/>
      <c r="U48" s="20"/>
      <c r="Y48" s="17"/>
      <c r="AE48" s="20"/>
    </row>
    <row r="49" spans="13:31" ht="17.25" customHeight="1" x14ac:dyDescent="0.2">
      <c r="M49" s="17"/>
      <c r="S49" s="20"/>
      <c r="T49" s="20"/>
      <c r="U49" s="20"/>
      <c r="Y49" s="17"/>
      <c r="AE49" s="20"/>
    </row>
    <row r="50" spans="13:31" ht="17.25" customHeight="1" x14ac:dyDescent="0.2">
      <c r="M50" s="17"/>
      <c r="S50" s="20"/>
      <c r="T50" s="20"/>
      <c r="U50" s="20"/>
      <c r="Y50" s="17"/>
      <c r="AE50" s="20"/>
    </row>
    <row r="51" spans="13:31" ht="17.25" customHeight="1" x14ac:dyDescent="0.2">
      <c r="M51" s="17"/>
      <c r="S51" s="20"/>
      <c r="T51" s="20"/>
      <c r="U51" s="20"/>
      <c r="Y51" s="17"/>
      <c r="AE51" s="20"/>
    </row>
    <row r="52" spans="13:31" ht="17.25" customHeight="1" x14ac:dyDescent="0.2">
      <c r="M52" s="17"/>
      <c r="S52" s="20"/>
      <c r="T52" s="20"/>
      <c r="U52" s="20"/>
      <c r="Y52" s="17"/>
      <c r="AE52" s="20"/>
    </row>
    <row r="53" spans="13:31" ht="17.25" customHeight="1" x14ac:dyDescent="0.2">
      <c r="M53" s="17"/>
      <c r="S53" s="20"/>
      <c r="T53" s="20"/>
      <c r="U53" s="20"/>
      <c r="Y53" s="17"/>
      <c r="AE53" s="20"/>
    </row>
    <row r="54" spans="13:31" ht="17.25" customHeight="1" x14ac:dyDescent="0.2">
      <c r="M54" s="17"/>
      <c r="S54" s="20"/>
      <c r="T54" s="20"/>
      <c r="U54" s="20"/>
      <c r="Y54" s="17"/>
      <c r="AE54" s="20"/>
    </row>
    <row r="55" spans="13:31" ht="17.25" customHeight="1" x14ac:dyDescent="0.2">
      <c r="M55" s="17"/>
      <c r="S55" s="20"/>
      <c r="T55" s="20"/>
      <c r="U55" s="20"/>
      <c r="Y55" s="17"/>
      <c r="AE55" s="20"/>
    </row>
  </sheetData>
  <conditionalFormatting sqref="C2:C3">
    <cfRule type="containsBlanks" dxfId="14" priority="206">
      <formula>LEN(TRIM(C2))=0</formula>
    </cfRule>
  </conditionalFormatting>
  <conditionalFormatting sqref="D6:J8">
    <cfRule type="cellIs" dxfId="13" priority="67" operator="equal">
      <formula>1</formula>
    </cfRule>
  </conditionalFormatting>
  <conditionalFormatting sqref="D11:J13">
    <cfRule type="cellIs" dxfId="12" priority="2" operator="equal">
      <formula>1</formula>
    </cfRule>
  </conditionalFormatting>
  <conditionalFormatting sqref="D16:J18">
    <cfRule type="cellIs" dxfId="11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0077-5948-44F7-B617-CB95F3BC15D4}">
  <sheetPr codeName="Feuil8"/>
  <dimension ref="B1:Y20"/>
  <sheetViews>
    <sheetView zoomScale="160" zoomScaleNormal="160" workbookViewId="0">
      <selection activeCell="C2" sqref="C2"/>
    </sheetView>
  </sheetViews>
  <sheetFormatPr baseColWidth="10" defaultColWidth="14.140625" defaultRowHeight="12.75" x14ac:dyDescent="0.2"/>
  <cols>
    <col min="1" max="1" width="1.140625" style="17" customWidth="1"/>
    <col min="2" max="2" width="22" style="17" customWidth="1"/>
    <col min="3" max="16384" width="14.140625" style="17"/>
  </cols>
  <sheetData>
    <row r="1" spans="2:25" ht="21" customHeight="1" x14ac:dyDescent="0.2"/>
    <row r="2" spans="2:25" x14ac:dyDescent="0.2">
      <c r="B2" s="69" t="s">
        <v>30</v>
      </c>
      <c r="C2" s="70"/>
      <c r="D2" s="69"/>
      <c r="E2" s="69"/>
      <c r="F2" s="69"/>
      <c r="G2" s="69"/>
      <c r="H2" s="69"/>
      <c r="I2" s="69"/>
      <c r="J2" s="69"/>
      <c r="K2" s="69"/>
      <c r="L2" s="69"/>
      <c r="M2" s="69"/>
    </row>
    <row r="3" spans="2:25" x14ac:dyDescent="0.2">
      <c r="B3" s="69" t="s">
        <v>31</v>
      </c>
      <c r="C3" s="70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2:25" x14ac:dyDescent="0.2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</row>
    <row r="5" spans="2:25" x14ac:dyDescent="0.2">
      <c r="B5" s="69" t="s">
        <v>16</v>
      </c>
      <c r="C5" s="69" t="s">
        <v>22</v>
      </c>
      <c r="D5" s="69" t="s">
        <v>8</v>
      </c>
      <c r="E5" s="69" t="s">
        <v>7</v>
      </c>
      <c r="F5" s="69" t="s">
        <v>9</v>
      </c>
      <c r="G5" s="69" t="s">
        <v>10</v>
      </c>
      <c r="H5" s="69" t="s">
        <v>13</v>
      </c>
      <c r="I5" s="69" t="s">
        <v>12</v>
      </c>
      <c r="J5" s="69" t="s">
        <v>14</v>
      </c>
      <c r="K5" s="69"/>
      <c r="L5" s="69"/>
      <c r="M5" s="69"/>
    </row>
    <row r="6" spans="2:25" x14ac:dyDescent="0.2">
      <c r="B6" s="69" t="s">
        <v>18</v>
      </c>
      <c r="C6" s="69">
        <v>1</v>
      </c>
      <c r="D6" s="71">
        <v>1</v>
      </c>
      <c r="E6" s="71">
        <v>1</v>
      </c>
      <c r="F6" s="71">
        <v>1</v>
      </c>
      <c r="G6" s="71">
        <v>1</v>
      </c>
      <c r="H6" s="71">
        <v>1</v>
      </c>
      <c r="I6" s="71">
        <v>1</v>
      </c>
      <c r="J6" s="71">
        <v>1</v>
      </c>
      <c r="K6" s="71"/>
      <c r="L6" s="71"/>
      <c r="M6" s="69"/>
      <c r="W6" s="19">
        <f>MAX(D6:J6)</f>
        <v>1</v>
      </c>
      <c r="X6" s="17" t="str">
        <f ca="1">OFFSET(C$5,0,Y6,1,1)</f>
        <v>Betclic</v>
      </c>
      <c r="Y6" s="17">
        <f>MATCH(W6,D6:J6,0)</f>
        <v>1</v>
      </c>
    </row>
    <row r="7" spans="2:25" x14ac:dyDescent="0.2">
      <c r="B7" s="69" t="s">
        <v>19</v>
      </c>
      <c r="C7" s="69">
        <v>2</v>
      </c>
      <c r="D7" s="71">
        <v>1</v>
      </c>
      <c r="E7" s="71">
        <v>1</v>
      </c>
      <c r="F7" s="71">
        <v>1</v>
      </c>
      <c r="G7" s="71">
        <v>1</v>
      </c>
      <c r="H7" s="71">
        <v>1</v>
      </c>
      <c r="I7" s="71">
        <v>1</v>
      </c>
      <c r="J7" s="71">
        <v>1</v>
      </c>
      <c r="K7" s="71"/>
      <c r="L7" s="71"/>
      <c r="M7" s="69"/>
      <c r="W7" s="19">
        <f>MAX(D7:J7)</f>
        <v>1</v>
      </c>
      <c r="X7" s="17" t="str">
        <f ca="1">OFFSET(C$5,0,Y7,1,1)</f>
        <v>Betclic</v>
      </c>
      <c r="Y7" s="17">
        <f>MATCH(W7,D7:J7,0)</f>
        <v>1</v>
      </c>
    </row>
    <row r="8" spans="2:25" x14ac:dyDescent="0.2">
      <c r="B8" s="69"/>
      <c r="C8" s="69"/>
      <c r="D8" s="71"/>
      <c r="E8" s="71"/>
      <c r="F8" s="71"/>
      <c r="G8" s="71"/>
      <c r="H8" s="71"/>
      <c r="I8" s="71"/>
      <c r="J8" s="71"/>
      <c r="K8" s="69"/>
      <c r="L8" s="69"/>
      <c r="M8" s="69"/>
      <c r="W8" s="19"/>
    </row>
    <row r="9" spans="2:25" x14ac:dyDescent="0.2">
      <c r="B9" s="69" t="s">
        <v>17</v>
      </c>
      <c r="C9" s="69" t="s">
        <v>22</v>
      </c>
      <c r="D9" s="71"/>
      <c r="E9" s="71"/>
      <c r="F9" s="71"/>
      <c r="G9" s="71"/>
      <c r="H9" s="71"/>
      <c r="I9" s="71"/>
      <c r="J9" s="71"/>
      <c r="K9" s="69"/>
      <c r="L9" s="69"/>
      <c r="M9" s="69"/>
      <c r="W9" s="19"/>
    </row>
    <row r="10" spans="2:25" x14ac:dyDescent="0.2">
      <c r="B10" s="69" t="s">
        <v>18</v>
      </c>
      <c r="C10" s="69">
        <v>1</v>
      </c>
      <c r="D10" s="71">
        <v>1</v>
      </c>
      <c r="E10" s="71">
        <v>1</v>
      </c>
      <c r="F10" s="71">
        <v>1</v>
      </c>
      <c r="G10" s="71">
        <v>1</v>
      </c>
      <c r="H10" s="71">
        <v>1</v>
      </c>
      <c r="I10" s="71">
        <v>1</v>
      </c>
      <c r="J10" s="71">
        <v>1</v>
      </c>
      <c r="K10" s="71"/>
      <c r="L10" s="71"/>
      <c r="M10" s="69"/>
      <c r="W10" s="19">
        <f>MAX(D10:J10)</f>
        <v>1</v>
      </c>
      <c r="X10" s="17" t="str">
        <f ca="1">OFFSET(C$5,0,Y10,1,1)</f>
        <v>Betclic</v>
      </c>
      <c r="Y10" s="17">
        <f>MATCH(W10,D10:J10,0)</f>
        <v>1</v>
      </c>
    </row>
    <row r="11" spans="2:25" x14ac:dyDescent="0.2">
      <c r="B11" s="69" t="s">
        <v>19</v>
      </c>
      <c r="C11" s="69">
        <v>2</v>
      </c>
      <c r="D11" s="71">
        <v>1</v>
      </c>
      <c r="E11" s="71">
        <v>1</v>
      </c>
      <c r="F11" s="71">
        <v>1</v>
      </c>
      <c r="G11" s="71">
        <v>1</v>
      </c>
      <c r="H11" s="71">
        <v>1</v>
      </c>
      <c r="I11" s="71">
        <v>1</v>
      </c>
      <c r="J11" s="71">
        <v>1</v>
      </c>
      <c r="K11" s="71"/>
      <c r="L11" s="71"/>
      <c r="M11" s="69"/>
      <c r="W11" s="19">
        <f>MAX(D11:J11)</f>
        <v>1</v>
      </c>
      <c r="X11" s="17" t="str">
        <f ca="1">OFFSET(C$5,0,Y11,1,1)</f>
        <v>Betclic</v>
      </c>
      <c r="Y11" s="17">
        <f>MATCH(W11,D11:J11,0)</f>
        <v>1</v>
      </c>
    </row>
    <row r="12" spans="2:25" x14ac:dyDescent="0.2"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</row>
    <row r="13" spans="2:25" x14ac:dyDescent="0.2">
      <c r="B13" s="73"/>
      <c r="C13" s="69" t="s">
        <v>33</v>
      </c>
      <c r="D13" s="73"/>
      <c r="E13" s="69" t="s">
        <v>23</v>
      </c>
      <c r="F13" s="69" t="s">
        <v>4</v>
      </c>
      <c r="G13" s="72"/>
      <c r="H13" s="73"/>
      <c r="I13" s="69" t="s">
        <v>33</v>
      </c>
      <c r="J13" s="73"/>
      <c r="K13" s="69" t="s">
        <v>23</v>
      </c>
      <c r="L13" s="69" t="s">
        <v>4</v>
      </c>
      <c r="Y13" s="17">
        <f>MATCH(W19,D19:J19,0)</f>
        <v>1</v>
      </c>
    </row>
    <row r="14" spans="2:25" x14ac:dyDescent="0.2">
      <c r="B14" s="69" t="str">
        <f>C6&amp;" &amp; "&amp;C10</f>
        <v>1 &amp; 1</v>
      </c>
      <c r="C14" s="71" t="str">
        <f>IF(C2=0,"",C2)</f>
        <v/>
      </c>
      <c r="D14" s="71" t="s">
        <v>15</v>
      </c>
      <c r="E14" s="74">
        <f>C3</f>
        <v>0</v>
      </c>
      <c r="F14" s="75">
        <f>C2*C3</f>
        <v>0</v>
      </c>
      <c r="G14" s="72"/>
      <c r="H14" s="69" t="str">
        <f>C6&amp;" &amp; "&amp;C10</f>
        <v>1 &amp; 1</v>
      </c>
      <c r="I14" s="71" t="str">
        <f>IF(C2=0,"",C2)</f>
        <v/>
      </c>
      <c r="J14" s="71" t="s">
        <v>15</v>
      </c>
      <c r="K14" s="74">
        <f>C3</f>
        <v>0</v>
      </c>
      <c r="L14" s="75">
        <f>C2*C3</f>
        <v>0</v>
      </c>
      <c r="Y14" s="17">
        <f>MATCH(W20,D20:J20,0)</f>
        <v>1</v>
      </c>
    </row>
    <row r="15" spans="2:25" x14ac:dyDescent="0.2">
      <c r="B15" s="70" t="str">
        <f>C6&amp;" &amp; "&amp;C11</f>
        <v>1 &amp; 2</v>
      </c>
      <c r="C15" s="76">
        <f>W19</f>
        <v>1</v>
      </c>
      <c r="D15" s="76" t="str">
        <f ca="1">X19</f>
        <v>Betclic</v>
      </c>
      <c r="E15" s="77">
        <f>F$14/C15</f>
        <v>0</v>
      </c>
      <c r="F15" s="78"/>
      <c r="G15" s="72"/>
      <c r="H15" s="70" t="str">
        <f>C7&amp;" &amp; "&amp;C10</f>
        <v>2 &amp; 1</v>
      </c>
      <c r="I15" s="76">
        <f>W20</f>
        <v>1</v>
      </c>
      <c r="J15" s="76" t="str">
        <f ca="1">X20</f>
        <v>Betclic</v>
      </c>
      <c r="K15" s="77">
        <f>L$14/I15</f>
        <v>0</v>
      </c>
      <c r="L15" s="78"/>
    </row>
    <row r="16" spans="2:25" x14ac:dyDescent="0.2">
      <c r="B16" s="70">
        <f>C7</f>
        <v>2</v>
      </c>
      <c r="C16" s="76">
        <f>W7</f>
        <v>1</v>
      </c>
      <c r="D16" s="76" t="str">
        <f ca="1">X7</f>
        <v>Betclic</v>
      </c>
      <c r="E16" s="77">
        <f>F$14/C16</f>
        <v>0</v>
      </c>
      <c r="F16" s="78"/>
      <c r="G16" s="72"/>
      <c r="H16" s="70">
        <f>C11</f>
        <v>2</v>
      </c>
      <c r="I16" s="76">
        <f>W11</f>
        <v>1</v>
      </c>
      <c r="J16" s="76" t="str">
        <f ca="1">X11</f>
        <v>Betclic</v>
      </c>
      <c r="K16" s="77">
        <f>L$14/I16</f>
        <v>0</v>
      </c>
      <c r="L16" s="78"/>
    </row>
    <row r="17" spans="2:24" x14ac:dyDescent="0.2">
      <c r="B17" s="73"/>
      <c r="C17" s="73"/>
      <c r="D17" s="70" t="s">
        <v>11</v>
      </c>
      <c r="E17" s="74">
        <f>SUM(E14:E16)</f>
        <v>0</v>
      </c>
      <c r="F17" s="79">
        <f>F14-E17</f>
        <v>0</v>
      </c>
      <c r="G17" s="69"/>
      <c r="H17" s="73"/>
      <c r="I17" s="73"/>
      <c r="J17" s="70" t="s">
        <v>11</v>
      </c>
      <c r="K17" s="74">
        <f>SUM(K14:K16)</f>
        <v>0</v>
      </c>
      <c r="L17" s="79">
        <f>L14-K17</f>
        <v>0</v>
      </c>
    </row>
    <row r="19" spans="2:24" x14ac:dyDescent="0.2">
      <c r="C19" s="17" t="str">
        <f>C6&amp;" &amp; "&amp;C11</f>
        <v>1 &amp; 2</v>
      </c>
      <c r="D19" s="17">
        <f t="shared" ref="D19:J19" si="0">D6*D11</f>
        <v>1</v>
      </c>
      <c r="E19" s="17">
        <f t="shared" si="0"/>
        <v>1</v>
      </c>
      <c r="F19" s="17">
        <f t="shared" si="0"/>
        <v>1</v>
      </c>
      <c r="G19" s="17">
        <f t="shared" si="0"/>
        <v>1</v>
      </c>
      <c r="I19" s="17">
        <f t="shared" si="0"/>
        <v>1</v>
      </c>
      <c r="J19" s="17">
        <f t="shared" si="0"/>
        <v>1</v>
      </c>
      <c r="W19" s="19">
        <f>MAX(D19:J19)</f>
        <v>1</v>
      </c>
      <c r="X19" s="17" t="str">
        <f ca="1">OFFSET(C$5,0,Y13,1,1)</f>
        <v>Betclic</v>
      </c>
    </row>
    <row r="20" spans="2:24" x14ac:dyDescent="0.2">
      <c r="C20" s="17" t="str">
        <f>C7&amp;" &amp; "&amp;C10</f>
        <v>2 &amp; 1</v>
      </c>
      <c r="D20" s="17">
        <f t="shared" ref="D20:J20" si="1">D7*D10</f>
        <v>1</v>
      </c>
      <c r="E20" s="17">
        <f t="shared" si="1"/>
        <v>1</v>
      </c>
      <c r="F20" s="17">
        <f t="shared" si="1"/>
        <v>1</v>
      </c>
      <c r="G20" s="17">
        <f t="shared" si="1"/>
        <v>1</v>
      </c>
      <c r="I20" s="17">
        <f t="shared" si="1"/>
        <v>1</v>
      </c>
      <c r="J20" s="17">
        <f t="shared" si="1"/>
        <v>1</v>
      </c>
      <c r="W20" s="19">
        <f>MAX(D20:J20)</f>
        <v>1</v>
      </c>
      <c r="X20" s="17" t="str">
        <f ca="1">OFFSET(C$5,0,Y14,1,1)</f>
        <v>Betclic</v>
      </c>
    </row>
  </sheetData>
  <conditionalFormatting sqref="D6:J7">
    <cfRule type="cellIs" dxfId="10" priority="38" operator="equal">
      <formula>1</formula>
    </cfRule>
  </conditionalFormatting>
  <conditionalFormatting sqref="C2:C3">
    <cfRule type="containsBlanks" dxfId="9" priority="80">
      <formula>LEN(TRIM(C2))=0</formula>
    </cfRule>
  </conditionalFormatting>
  <conditionalFormatting sqref="L17 F17">
    <cfRule type="cellIs" dxfId="8" priority="99" operator="lessThan">
      <formula>0</formula>
    </cfRule>
    <cfRule type="cellIs" dxfId="7" priority="100" operator="equal">
      <formula>MAX($F$17,$L$17)</formula>
    </cfRule>
  </conditionalFormatting>
  <conditionalFormatting sqref="D10:J11">
    <cfRule type="cellIs" dxfId="6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44C3B-D4ED-4D20-BE04-AD23B5D1ABC5}">
  <sheetPr codeName="Feuil10"/>
  <dimension ref="B1:L18"/>
  <sheetViews>
    <sheetView zoomScale="160" zoomScaleNormal="160" workbookViewId="0">
      <selection activeCell="P24" sqref="P24"/>
    </sheetView>
  </sheetViews>
  <sheetFormatPr baseColWidth="10" defaultColWidth="11.42578125" defaultRowHeight="15" customHeight="1" x14ac:dyDescent="0.2"/>
  <cols>
    <col min="1" max="1" width="15" style="38" customWidth="1"/>
    <col min="2" max="2" width="21.7109375" style="38" customWidth="1"/>
    <col min="3" max="3" width="7.28515625" style="55" customWidth="1"/>
    <col min="4" max="4" width="11.42578125" style="38"/>
    <col min="5" max="6" width="11.42578125" style="57"/>
    <col min="7" max="7" width="3" style="38" customWidth="1"/>
    <col min="8" max="8" width="21.7109375" style="38" customWidth="1"/>
    <col min="9" max="9" width="7.28515625" style="55" customWidth="1"/>
    <col min="10" max="10" width="11.42578125" style="38"/>
    <col min="11" max="12" width="11.42578125" style="57"/>
    <col min="13" max="16384" width="11.42578125" style="38"/>
  </cols>
  <sheetData>
    <row r="1" spans="2:12" ht="39.75" customHeight="1" x14ac:dyDescent="0.2"/>
    <row r="2" spans="2:12" ht="15" customHeight="1" x14ac:dyDescent="0.2">
      <c r="B2" s="62" t="str">
        <f>'Basket à 3 Matchs'!$C$5&amp;" &amp; "&amp;'Basket à 3 Matchs'!$C$9&amp;" &amp; "&amp;'Basket à 3 Matchs'!$C$13</f>
        <v>1 &amp; 1 &amp; 1</v>
      </c>
      <c r="C2" s="43" t="str">
        <f>IF('Basket à 3 Matchs'!C2=0,"",'Basket à 3 Matchs'!C2)</f>
        <v/>
      </c>
      <c r="D2" s="26" t="s">
        <v>15</v>
      </c>
      <c r="E2" s="56">
        <f>'Basket à 3 Matchs'!$C$3</f>
        <v>0</v>
      </c>
      <c r="F2" s="56">
        <f>'Basket à 3 Matchs'!C$2*'Basket à 3 Matchs'!C$3</f>
        <v>0</v>
      </c>
      <c r="H2" s="62" t="str">
        <f>'Basket à 3 Matchs'!$C$5&amp;" &amp; "&amp;'Basket à 3 Matchs'!$C$9&amp;" &amp; "&amp;'Basket à 3 Matchs'!$C$13</f>
        <v>1 &amp; 1 &amp; 1</v>
      </c>
      <c r="I2" s="43" t="str">
        <f>IF('Basket à 3 Matchs'!C2=0,"",'Basket à 3 Matchs'!C2)</f>
        <v/>
      </c>
      <c r="J2" s="26" t="s">
        <v>15</v>
      </c>
      <c r="K2" s="56">
        <f>'Basket à 3 Matchs'!$C$3</f>
        <v>0</v>
      </c>
      <c r="L2" s="56">
        <f>'Basket à 3 Matchs'!C$2*'Basket à 3 Matchs'!C$3</f>
        <v>0</v>
      </c>
    </row>
    <row r="3" spans="2:12" ht="15" customHeight="1" x14ac:dyDescent="0.2">
      <c r="B3" s="63" t="str">
        <f>'Basket à 3 Matchs'!V16</f>
        <v>1 &amp; 1 &amp; 2</v>
      </c>
      <c r="C3" s="63">
        <f>'Basket à 3 Matchs'!W16</f>
        <v>1</v>
      </c>
      <c r="D3" s="63" t="str">
        <f ca="1">'Basket à 3 Matchs'!X16</f>
        <v>Betclic</v>
      </c>
      <c r="E3" s="56">
        <f>F$2/C3</f>
        <v>0</v>
      </c>
      <c r="H3" s="63" t="str">
        <f>'Basket à 3 Matchs'!V17</f>
        <v>1 &amp; 2 &amp; 1</v>
      </c>
      <c r="I3" s="54">
        <f>'Basket à 3 Matchs'!W17</f>
        <v>1</v>
      </c>
      <c r="J3" s="52" t="str">
        <f ca="1">'Basket à 3 Matchs'!X17</f>
        <v>Betclic</v>
      </c>
      <c r="K3" s="56">
        <f>L$2/I3</f>
        <v>0</v>
      </c>
    </row>
    <row r="4" spans="2:12" ht="15" customHeight="1" x14ac:dyDescent="0.2">
      <c r="B4" s="63" t="str">
        <f>'Basket à 3 Matchs'!V19</f>
        <v>1 &amp; 2</v>
      </c>
      <c r="C4" s="54">
        <f>'Basket à 3 Matchs'!W19</f>
        <v>1</v>
      </c>
      <c r="D4" s="52" t="str">
        <f ca="1">'Basket à 3 Matchs'!X19</f>
        <v>Betclic</v>
      </c>
      <c r="E4" s="56">
        <f t="shared" ref="E4:E5" si="0">F$2/C4</f>
        <v>0</v>
      </c>
      <c r="H4" s="63" t="str">
        <f>'Basket à 3 Matchs'!V20</f>
        <v>1 &amp; 2</v>
      </c>
      <c r="I4" s="54">
        <f>'Basket à 3 Matchs'!W20</f>
        <v>1</v>
      </c>
      <c r="J4" s="52" t="str">
        <f ca="1">'Basket à 3 Matchs'!X20</f>
        <v>Betclic</v>
      </c>
      <c r="K4" s="56">
        <f>L$2/I4</f>
        <v>0</v>
      </c>
    </row>
    <row r="5" spans="2:12" ht="15" customHeight="1" x14ac:dyDescent="0.2">
      <c r="B5" s="63">
        <f>'Basket à 3 Matchs'!C6</f>
        <v>2</v>
      </c>
      <c r="C5" s="54">
        <f>'Basket à 3 Matchs'!W6</f>
        <v>1</v>
      </c>
      <c r="D5" s="54" t="str">
        <f ca="1">'Basket à 3 Matchs'!X6</f>
        <v>Betclic</v>
      </c>
      <c r="E5" s="56">
        <f t="shared" si="0"/>
        <v>0</v>
      </c>
      <c r="H5" s="63">
        <f>'Basket à 3 Matchs'!C6</f>
        <v>2</v>
      </c>
      <c r="I5" s="54">
        <f>'Basket à 3 Matchs'!W6</f>
        <v>1</v>
      </c>
      <c r="J5" s="54" t="str">
        <f ca="1">'Basket à 3 Matchs'!X6</f>
        <v>Betclic</v>
      </c>
      <c r="K5" s="56">
        <f>L$2/I5</f>
        <v>0</v>
      </c>
    </row>
    <row r="6" spans="2:12" ht="15" customHeight="1" x14ac:dyDescent="0.2">
      <c r="B6" s="62"/>
      <c r="C6" s="43"/>
      <c r="D6" s="26" t="s">
        <v>11</v>
      </c>
      <c r="E6" s="56">
        <f>SUM(E2:E5)</f>
        <v>0</v>
      </c>
      <c r="F6" s="57">
        <f>F2-E6</f>
        <v>0</v>
      </c>
      <c r="H6" s="62"/>
      <c r="I6" s="43"/>
      <c r="J6" s="26" t="s">
        <v>11</v>
      </c>
      <c r="K6" s="56">
        <f>SUM(K2:K5)</f>
        <v>0</v>
      </c>
      <c r="L6" s="57">
        <f>L2-K6</f>
        <v>0</v>
      </c>
    </row>
    <row r="7" spans="2:12" ht="15" customHeight="1" x14ac:dyDescent="0.2">
      <c r="B7" s="64"/>
      <c r="H7" s="64"/>
    </row>
    <row r="8" spans="2:12" ht="15" customHeight="1" x14ac:dyDescent="0.2">
      <c r="B8" s="62" t="str">
        <f>'Basket à 3 Matchs'!$C$5&amp;" &amp; "&amp;'Basket à 3 Matchs'!$C$9&amp;" &amp; "&amp;'Basket à 3 Matchs'!$C$13</f>
        <v>1 &amp; 1 &amp; 1</v>
      </c>
      <c r="C8" s="43" t="str">
        <f>IF('Basket à 3 Matchs'!C2=0,"",'Basket à 3 Matchs'!C2)</f>
        <v/>
      </c>
      <c r="D8" s="26" t="s">
        <v>15</v>
      </c>
      <c r="E8" s="56">
        <f>'Basket à 3 Matchs'!$C$3</f>
        <v>0</v>
      </c>
      <c r="F8" s="56">
        <f>'Basket à 3 Matchs'!C$2*'Basket à 3 Matchs'!C$3</f>
        <v>0</v>
      </c>
      <c r="H8" s="62" t="str">
        <f>'Basket à 3 Matchs'!$C$5&amp;" &amp; "&amp;'Basket à 3 Matchs'!$C$9&amp;" &amp; "&amp;'Basket à 3 Matchs'!$C$13</f>
        <v>1 &amp; 1 &amp; 1</v>
      </c>
      <c r="I8" s="43" t="str">
        <f>IF('Basket à 3 Matchs'!C2=0,"",'Basket à 3 Matchs'!C2)</f>
        <v/>
      </c>
      <c r="J8" s="26" t="s">
        <v>15</v>
      </c>
      <c r="K8" s="56">
        <f>'Basket à 3 Matchs'!$C$3</f>
        <v>0</v>
      </c>
      <c r="L8" s="56">
        <f>'Basket à 3 Matchs'!C$2*'Basket à 3 Matchs'!C$3</f>
        <v>0</v>
      </c>
    </row>
    <row r="9" spans="2:12" ht="15" customHeight="1" x14ac:dyDescent="0.2">
      <c r="B9" s="63" t="str">
        <f>'Basket à 3 Matchs'!V17</f>
        <v>1 &amp; 2 &amp; 1</v>
      </c>
      <c r="C9" s="54">
        <f>'Basket à 3 Matchs'!W17</f>
        <v>1</v>
      </c>
      <c r="D9" s="52" t="str">
        <f ca="1">'Basket à 3 Matchs'!X17</f>
        <v>Betclic</v>
      </c>
      <c r="E9" s="56">
        <f>F$8/C9</f>
        <v>0</v>
      </c>
      <c r="H9" s="63" t="str">
        <f>'Basket à 3 Matchs'!V18</f>
        <v>2 &amp; 1 &amp; 1</v>
      </c>
      <c r="I9" s="54">
        <f>'Basket à 3 Matchs'!W18</f>
        <v>1</v>
      </c>
      <c r="J9" s="52" t="str">
        <f ca="1">'Basket à 3 Matchs'!X18</f>
        <v>Betclic</v>
      </c>
      <c r="K9" s="56">
        <f>L$8/I9</f>
        <v>0</v>
      </c>
    </row>
    <row r="10" spans="2:12" ht="15" customHeight="1" x14ac:dyDescent="0.2">
      <c r="B10" s="63" t="str">
        <f>'Basket à 3 Matchs'!V22</f>
        <v>2 &amp; 1</v>
      </c>
      <c r="C10" s="54">
        <f>'Basket à 3 Matchs'!W22</f>
        <v>1</v>
      </c>
      <c r="D10" s="52" t="str">
        <f ca="1">'Basket à 3 Matchs'!X22</f>
        <v>Betclic</v>
      </c>
      <c r="E10" s="56">
        <f>F$8/C10</f>
        <v>0</v>
      </c>
      <c r="H10" s="63" t="str">
        <f>'Basket à 3 Matchs'!V24</f>
        <v>2 &amp; 1</v>
      </c>
      <c r="I10" s="54">
        <f>'Basket à 3 Matchs'!W24</f>
        <v>1</v>
      </c>
      <c r="J10" s="52" t="str">
        <f ca="1">'Basket à 3 Matchs'!X24</f>
        <v>Betclic</v>
      </c>
      <c r="K10" s="56">
        <f>L$8/I10</f>
        <v>0</v>
      </c>
    </row>
    <row r="11" spans="2:12" ht="15" customHeight="1" x14ac:dyDescent="0.2">
      <c r="B11" s="63">
        <f>'Basket à 3 Matchs'!C14</f>
        <v>2</v>
      </c>
      <c r="C11" s="54">
        <f>'Basket à 3 Matchs'!W14</f>
        <v>1</v>
      </c>
      <c r="D11" s="54" t="str">
        <f ca="1">'Basket à 3 Matchs'!X14</f>
        <v>Betclic</v>
      </c>
      <c r="E11" s="56">
        <f>F$8/C11</f>
        <v>0</v>
      </c>
      <c r="H11" s="63">
        <f>'Basket à 3 Matchs'!C14</f>
        <v>2</v>
      </c>
      <c r="I11" s="54">
        <f>'Basket à 3 Matchs'!W14</f>
        <v>1</v>
      </c>
      <c r="J11" s="54" t="str">
        <f ca="1">'Basket à 3 Matchs'!X14</f>
        <v>Betclic</v>
      </c>
      <c r="K11" s="56">
        <f>L$8/I11</f>
        <v>0</v>
      </c>
    </row>
    <row r="12" spans="2:12" ht="15" customHeight="1" x14ac:dyDescent="0.2">
      <c r="B12" s="62"/>
      <c r="C12" s="43"/>
      <c r="D12" s="26" t="s">
        <v>11</v>
      </c>
      <c r="E12" s="56">
        <f>SUM(E8:E11)</f>
        <v>0</v>
      </c>
      <c r="F12" s="57">
        <f>F8-E12</f>
        <v>0</v>
      </c>
      <c r="H12" s="62"/>
      <c r="I12" s="43"/>
      <c r="J12" s="26" t="s">
        <v>11</v>
      </c>
      <c r="K12" s="56">
        <f>SUM(K8:K11)</f>
        <v>0</v>
      </c>
      <c r="L12" s="57">
        <f>L8-K12</f>
        <v>0</v>
      </c>
    </row>
    <row r="13" spans="2:12" ht="15" customHeight="1" x14ac:dyDescent="0.2">
      <c r="B13" s="64"/>
      <c r="H13" s="64"/>
    </row>
    <row r="14" spans="2:12" ht="15" customHeight="1" x14ac:dyDescent="0.2">
      <c r="B14" s="62" t="str">
        <f>'Basket à 3 Matchs'!$C$5&amp;" &amp; "&amp;'Basket à 3 Matchs'!$C$9&amp;" &amp; "&amp;'Basket à 3 Matchs'!$C$13</f>
        <v>1 &amp; 1 &amp; 1</v>
      </c>
      <c r="C14" s="43" t="str">
        <f>IF('Basket à 3 Matchs'!C2=0,"",'Basket à 3 Matchs'!C2)</f>
        <v/>
      </c>
      <c r="D14" s="26" t="s">
        <v>15</v>
      </c>
      <c r="E14" s="56">
        <f>'Basket à 3 Matchs'!$C$3</f>
        <v>0</v>
      </c>
      <c r="F14" s="56">
        <f>'Basket à 3 Matchs'!C$2*'Basket à 3 Matchs'!C$3</f>
        <v>0</v>
      </c>
      <c r="H14" s="62" t="str">
        <f>'Basket à 3 Matchs'!$C$5&amp;" &amp; "&amp;'Basket à 3 Matchs'!$C$9&amp;" &amp; "&amp;'Basket à 3 Matchs'!$C$13</f>
        <v>1 &amp; 1 &amp; 1</v>
      </c>
      <c r="I14" s="43" t="str">
        <f>IF('Basket à 3 Matchs'!C2=0,"",'Basket à 3 Matchs'!C2)</f>
        <v/>
      </c>
      <c r="J14" s="26" t="s">
        <v>15</v>
      </c>
      <c r="K14" s="56">
        <f>'Basket à 3 Matchs'!$C$3</f>
        <v>0</v>
      </c>
      <c r="L14" s="56">
        <f>'Basket à 3 Matchs'!C$2*'Basket à 3 Matchs'!C$3</f>
        <v>0</v>
      </c>
    </row>
    <row r="15" spans="2:12" ht="15" customHeight="1" x14ac:dyDescent="0.2">
      <c r="B15" s="63" t="str">
        <f>'Basket à 3 Matchs'!V16</f>
        <v>1 &amp; 1 &amp; 2</v>
      </c>
      <c r="C15" s="54">
        <f>'Basket à 3 Matchs'!W16</f>
        <v>1</v>
      </c>
      <c r="D15" s="52" t="str">
        <f ca="1">'Basket à 3 Matchs'!X16</f>
        <v>Betclic</v>
      </c>
      <c r="E15" s="56">
        <f>F$14/C15</f>
        <v>0</v>
      </c>
      <c r="H15" s="63" t="str">
        <f>'Basket à 3 Matchs'!V18</f>
        <v>2 &amp; 1 &amp; 1</v>
      </c>
      <c r="I15" s="54">
        <f>'Basket à 3 Matchs'!W18</f>
        <v>1</v>
      </c>
      <c r="J15" s="52" t="str">
        <f ca="1">'Basket à 3 Matchs'!X18</f>
        <v>Betclic</v>
      </c>
      <c r="K15" s="56">
        <f>L$14/I15</f>
        <v>0</v>
      </c>
    </row>
    <row r="16" spans="2:12" ht="15" customHeight="1" x14ac:dyDescent="0.2">
      <c r="B16" s="63" t="str">
        <f>'Basket à 3 Matchs'!V21</f>
        <v>2 &amp; 1</v>
      </c>
      <c r="C16" s="54">
        <f>'Basket à 3 Matchs'!W21</f>
        <v>1</v>
      </c>
      <c r="D16" s="52" t="str">
        <f ca="1">'Basket à 3 Matchs'!X21</f>
        <v>Betclic</v>
      </c>
      <c r="E16" s="56">
        <f>F$14/C16</f>
        <v>0</v>
      </c>
      <c r="H16" s="63" t="str">
        <f>'Basket à 3 Matchs'!V23</f>
        <v>1 &amp; 2</v>
      </c>
      <c r="I16" s="54">
        <f>'Basket à 3 Matchs'!W23</f>
        <v>1</v>
      </c>
      <c r="J16" s="52" t="str">
        <f ca="1">'Basket à 3 Matchs'!X23</f>
        <v>Betclic</v>
      </c>
      <c r="K16" s="56">
        <f>L$14/I16</f>
        <v>0</v>
      </c>
    </row>
    <row r="17" spans="2:12" ht="15" customHeight="1" x14ac:dyDescent="0.2">
      <c r="B17" s="63">
        <f>'Basket à 3 Matchs'!C10</f>
        <v>2</v>
      </c>
      <c r="C17" s="54">
        <f>'Basket à 3 Matchs'!W10</f>
        <v>1</v>
      </c>
      <c r="D17" s="54" t="str">
        <f ca="1">'Basket à 3 Matchs'!X10</f>
        <v>Betclic</v>
      </c>
      <c r="E17" s="56">
        <f>F$14/C17</f>
        <v>0</v>
      </c>
      <c r="H17" s="63">
        <f>'Basket à 3 Matchs'!C10</f>
        <v>2</v>
      </c>
      <c r="I17" s="54">
        <f>'Basket à 3 Matchs'!W10</f>
        <v>1</v>
      </c>
      <c r="J17" s="54" t="str">
        <f ca="1">'Basket à 3 Matchs'!X10</f>
        <v>Betclic</v>
      </c>
      <c r="K17" s="56">
        <f>L$14/I17</f>
        <v>0</v>
      </c>
    </row>
    <row r="18" spans="2:12" ht="15" customHeight="1" x14ac:dyDescent="0.2">
      <c r="D18" s="26" t="s">
        <v>11</v>
      </c>
      <c r="E18" s="56">
        <f>SUM(E14:E17)</f>
        <v>0</v>
      </c>
      <c r="F18" s="57">
        <f>F14-E18</f>
        <v>0</v>
      </c>
      <c r="J18" s="26" t="s">
        <v>11</v>
      </c>
      <c r="K18" s="56">
        <f>SUM(K14:K17)</f>
        <v>0</v>
      </c>
      <c r="L18" s="57">
        <f>L14-K18</f>
        <v>0</v>
      </c>
    </row>
  </sheetData>
  <conditionalFormatting sqref="F6 F12 F18 L18 L12 L6">
    <cfRule type="cellIs" dxfId="5" priority="1" operator="lessThan">
      <formula>0</formula>
    </cfRule>
    <cfRule type="cellIs" dxfId="4" priority="2" operator="equal">
      <formula>MAX($F$6,$F$12,$F$18,$L$18,$L$12,$L$6)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38AD2-67BB-4699-917C-502707F303F0}">
  <sheetPr codeName="Feuil9"/>
  <dimension ref="B1:Y56"/>
  <sheetViews>
    <sheetView zoomScale="175" zoomScaleNormal="175" workbookViewId="0">
      <selection activeCell="C2" sqref="C2"/>
    </sheetView>
  </sheetViews>
  <sheetFormatPr baseColWidth="10" defaultColWidth="11.42578125" defaultRowHeight="12.75" x14ac:dyDescent="0.2"/>
  <cols>
    <col min="1" max="1" width="15.28515625" style="17" customWidth="1"/>
    <col min="2" max="2" width="18.42578125" style="17" bestFit="1" customWidth="1"/>
    <col min="3" max="3" width="11.42578125" style="17"/>
    <col min="4" max="10" width="12.28515625" style="17" customWidth="1"/>
    <col min="11" max="11" width="11.42578125" style="17"/>
    <col min="12" max="12" width="32" style="17" bestFit="1" customWidth="1"/>
    <col min="13" max="16384" width="11.42578125" style="17"/>
  </cols>
  <sheetData>
    <row r="1" spans="2:25" ht="39" customHeight="1" x14ac:dyDescent="0.2"/>
    <row r="2" spans="2:25" x14ac:dyDescent="0.2">
      <c r="B2" s="39" t="s">
        <v>30</v>
      </c>
      <c r="C2" s="46"/>
      <c r="D2" s="39"/>
      <c r="E2" s="39"/>
      <c r="F2" s="39"/>
      <c r="G2" s="39"/>
      <c r="H2" s="39"/>
      <c r="I2" s="39"/>
      <c r="J2" s="39"/>
    </row>
    <row r="3" spans="2:25" x14ac:dyDescent="0.2">
      <c r="B3" s="39" t="s">
        <v>31</v>
      </c>
      <c r="C3" s="37"/>
      <c r="D3" s="39"/>
      <c r="E3" s="39"/>
      <c r="F3" s="39"/>
      <c r="G3" s="39"/>
      <c r="H3" s="39"/>
      <c r="I3" s="39"/>
      <c r="J3" s="39"/>
    </row>
    <row r="4" spans="2:25" x14ac:dyDescent="0.2">
      <c r="B4" s="39" t="s">
        <v>16</v>
      </c>
      <c r="C4" s="39" t="s">
        <v>22</v>
      </c>
      <c r="D4" s="39" t="s">
        <v>8</v>
      </c>
      <c r="E4" s="39" t="s">
        <v>7</v>
      </c>
      <c r="F4" s="39" t="s">
        <v>9</v>
      </c>
      <c r="G4" s="39" t="s">
        <v>10</v>
      </c>
      <c r="H4" s="39" t="s">
        <v>13</v>
      </c>
      <c r="I4" s="39" t="s">
        <v>12</v>
      </c>
      <c r="J4" s="39" t="s">
        <v>14</v>
      </c>
    </row>
    <row r="5" spans="2:25" x14ac:dyDescent="0.2">
      <c r="B5" s="39" t="s">
        <v>18</v>
      </c>
      <c r="C5" s="84">
        <v>1</v>
      </c>
      <c r="D5" s="42">
        <v>1</v>
      </c>
      <c r="E5" s="42">
        <v>1</v>
      </c>
      <c r="F5" s="42">
        <v>1</v>
      </c>
      <c r="G5" s="42">
        <v>1</v>
      </c>
      <c r="H5" s="42">
        <v>1</v>
      </c>
      <c r="I5" s="42">
        <v>1</v>
      </c>
      <c r="J5" s="42">
        <v>1</v>
      </c>
    </row>
    <row r="6" spans="2:25" x14ac:dyDescent="0.2">
      <c r="B6" s="39" t="s">
        <v>19</v>
      </c>
      <c r="C6" s="39">
        <v>2</v>
      </c>
      <c r="D6" s="42">
        <v>1</v>
      </c>
      <c r="E6" s="42">
        <v>1</v>
      </c>
      <c r="F6" s="42">
        <v>1</v>
      </c>
      <c r="G6" s="42">
        <v>1</v>
      </c>
      <c r="H6" s="42">
        <v>1</v>
      </c>
      <c r="I6" s="42">
        <v>1</v>
      </c>
      <c r="J6" s="42">
        <v>1</v>
      </c>
      <c r="W6" s="19">
        <f>MAX(D6:J6)</f>
        <v>1</v>
      </c>
      <c r="X6" s="17" t="str">
        <f ca="1">OFFSET($C$4,0,Y16,1,1)</f>
        <v>Betclic</v>
      </c>
      <c r="Y6" s="17">
        <f>MATCH(W6,D6:J6,0)</f>
        <v>1</v>
      </c>
    </row>
    <row r="7" spans="2:25" x14ac:dyDescent="0.2">
      <c r="B7" s="39"/>
      <c r="C7" s="39"/>
      <c r="D7" s="42"/>
      <c r="E7" s="42"/>
      <c r="F7" s="42"/>
      <c r="G7" s="42"/>
      <c r="H7" s="42"/>
      <c r="I7" s="42"/>
      <c r="J7" s="42"/>
    </row>
    <row r="8" spans="2:25" x14ac:dyDescent="0.2">
      <c r="B8" s="39" t="s">
        <v>17</v>
      </c>
      <c r="C8" s="39" t="s">
        <v>22</v>
      </c>
      <c r="D8" s="42"/>
      <c r="E8" s="42"/>
      <c r="F8" s="42"/>
      <c r="G8" s="42"/>
      <c r="H8" s="42"/>
      <c r="I8" s="42"/>
      <c r="J8" s="42"/>
    </row>
    <row r="9" spans="2:25" x14ac:dyDescent="0.2">
      <c r="B9" s="39" t="s">
        <v>18</v>
      </c>
      <c r="C9" s="84">
        <v>1</v>
      </c>
      <c r="D9" s="42">
        <v>1</v>
      </c>
      <c r="E9" s="42">
        <v>1</v>
      </c>
      <c r="F9" s="42">
        <v>1</v>
      </c>
      <c r="G9" s="42">
        <v>1</v>
      </c>
      <c r="H9" s="42">
        <v>1</v>
      </c>
      <c r="I9" s="42">
        <v>1</v>
      </c>
      <c r="J9" s="42">
        <v>1</v>
      </c>
    </row>
    <row r="10" spans="2:25" x14ac:dyDescent="0.2">
      <c r="B10" s="39" t="s">
        <v>19</v>
      </c>
      <c r="C10" s="39">
        <v>2</v>
      </c>
      <c r="D10" s="42">
        <v>1</v>
      </c>
      <c r="E10" s="42">
        <v>1</v>
      </c>
      <c r="F10" s="42">
        <v>1</v>
      </c>
      <c r="G10" s="42">
        <v>1</v>
      </c>
      <c r="H10" s="42">
        <v>1</v>
      </c>
      <c r="I10" s="42">
        <v>1</v>
      </c>
      <c r="J10" s="42">
        <v>1</v>
      </c>
      <c r="W10" s="19">
        <f>MAX(D10:J10)</f>
        <v>1</v>
      </c>
      <c r="X10" s="17" t="str">
        <f ca="1">OFFSET($C$4,0,Y16,1,1)</f>
        <v>Betclic</v>
      </c>
      <c r="Y10" s="17">
        <f>MATCH(W10,D10:J10,0)</f>
        <v>1</v>
      </c>
    </row>
    <row r="11" spans="2:25" x14ac:dyDescent="0.2">
      <c r="B11" s="39"/>
      <c r="C11" s="39"/>
      <c r="D11" s="39"/>
      <c r="E11" s="39"/>
      <c r="F11" s="39"/>
      <c r="G11" s="39"/>
      <c r="H11" s="39"/>
      <c r="I11" s="39"/>
      <c r="J11" s="39"/>
    </row>
    <row r="12" spans="2:25" x14ac:dyDescent="0.2">
      <c r="B12" s="39" t="s">
        <v>26</v>
      </c>
      <c r="C12" s="39" t="s">
        <v>22</v>
      </c>
      <c r="D12" s="42"/>
      <c r="E12" s="42"/>
      <c r="F12" s="42"/>
      <c r="G12" s="42"/>
      <c r="H12" s="42"/>
      <c r="I12" s="42"/>
      <c r="J12" s="42"/>
    </row>
    <row r="13" spans="2:25" x14ac:dyDescent="0.2">
      <c r="B13" s="39" t="s">
        <v>18</v>
      </c>
      <c r="C13" s="84">
        <v>1</v>
      </c>
      <c r="D13" s="42">
        <v>1</v>
      </c>
      <c r="E13" s="42">
        <v>1</v>
      </c>
      <c r="F13" s="42">
        <v>1</v>
      </c>
      <c r="G13" s="42">
        <v>1</v>
      </c>
      <c r="H13" s="42">
        <v>1</v>
      </c>
      <c r="I13" s="42">
        <v>1</v>
      </c>
      <c r="J13" s="42">
        <v>1</v>
      </c>
    </row>
    <row r="14" spans="2:25" x14ac:dyDescent="0.2">
      <c r="B14" s="39" t="s">
        <v>19</v>
      </c>
      <c r="C14" s="39">
        <v>2</v>
      </c>
      <c r="D14" s="42">
        <v>1</v>
      </c>
      <c r="E14" s="42">
        <v>1</v>
      </c>
      <c r="F14" s="42">
        <v>1</v>
      </c>
      <c r="G14" s="42">
        <v>1</v>
      </c>
      <c r="H14" s="42">
        <v>1</v>
      </c>
      <c r="I14" s="42">
        <v>1</v>
      </c>
      <c r="J14" s="42">
        <v>1</v>
      </c>
      <c r="W14" s="19">
        <f>MAX(D14:J14)</f>
        <v>1</v>
      </c>
      <c r="X14" s="17" t="str">
        <f ca="1">OFFSET($C$4,0,Y16,1,1)</f>
        <v>Betclic</v>
      </c>
      <c r="Y14" s="17">
        <f>MATCH(W14,D14:J14,0)</f>
        <v>1</v>
      </c>
    </row>
    <row r="16" spans="2:25" x14ac:dyDescent="0.2">
      <c r="O16" s="19">
        <f t="shared" ref="O16:U16" si="0">D5*D9*D14</f>
        <v>1</v>
      </c>
      <c r="P16" s="19">
        <f t="shared" si="0"/>
        <v>1</v>
      </c>
      <c r="Q16" s="19">
        <f t="shared" si="0"/>
        <v>1</v>
      </c>
      <c r="R16" s="19">
        <f t="shared" si="0"/>
        <v>1</v>
      </c>
      <c r="S16" s="19">
        <f t="shared" si="0"/>
        <v>1</v>
      </c>
      <c r="T16" s="19">
        <f t="shared" si="0"/>
        <v>1</v>
      </c>
      <c r="U16" s="19">
        <f t="shared" si="0"/>
        <v>1</v>
      </c>
      <c r="V16" s="17" t="str">
        <f>C5&amp;" &amp; "&amp;C9&amp;" &amp; "&amp;C14</f>
        <v>1 &amp; 1 &amp; 2</v>
      </c>
      <c r="W16" s="19">
        <f t="shared" ref="W16:W24" si="1">MAX(O16:U16)</f>
        <v>1</v>
      </c>
      <c r="X16" s="17" t="str">
        <f t="shared" ref="X16:X24" ca="1" si="2">OFFSET($C$4,0,Y16,1,1)</f>
        <v>Betclic</v>
      </c>
      <c r="Y16" s="17">
        <f t="shared" ref="Y16:Y24" si="3">MATCH(W16,O16:U16,0)</f>
        <v>1</v>
      </c>
    </row>
    <row r="17" spans="15:25" x14ac:dyDescent="0.2">
      <c r="O17" s="19">
        <f>D5*D10*D13</f>
        <v>1</v>
      </c>
      <c r="P17" s="19">
        <f t="shared" ref="P17:U17" si="4">E5*E10*E13</f>
        <v>1</v>
      </c>
      <c r="Q17" s="19">
        <f t="shared" si="4"/>
        <v>1</v>
      </c>
      <c r="R17" s="19">
        <f t="shared" si="4"/>
        <v>1</v>
      </c>
      <c r="S17" s="19">
        <f t="shared" si="4"/>
        <v>1</v>
      </c>
      <c r="T17" s="19">
        <f t="shared" si="4"/>
        <v>1</v>
      </c>
      <c r="U17" s="19">
        <f t="shared" si="4"/>
        <v>1</v>
      </c>
      <c r="V17" s="17" t="str">
        <f>C5&amp;" &amp; "&amp;C10&amp;" &amp; "&amp;C13</f>
        <v>1 &amp; 2 &amp; 1</v>
      </c>
      <c r="W17" s="19">
        <f t="shared" si="1"/>
        <v>1</v>
      </c>
      <c r="X17" s="17" t="str">
        <f t="shared" ca="1" si="2"/>
        <v>Betclic</v>
      </c>
      <c r="Y17" s="17">
        <f t="shared" si="3"/>
        <v>1</v>
      </c>
    </row>
    <row r="18" spans="15:25" x14ac:dyDescent="0.2">
      <c r="O18" s="19">
        <f>D6*D9*D13</f>
        <v>1</v>
      </c>
      <c r="P18" s="19">
        <f t="shared" ref="P18:U18" si="5">E6*E9*E13</f>
        <v>1</v>
      </c>
      <c r="Q18" s="19">
        <f t="shared" si="5"/>
        <v>1</v>
      </c>
      <c r="R18" s="19">
        <f t="shared" si="5"/>
        <v>1</v>
      </c>
      <c r="S18" s="19">
        <f t="shared" si="5"/>
        <v>1</v>
      </c>
      <c r="T18" s="19">
        <f t="shared" si="5"/>
        <v>1</v>
      </c>
      <c r="U18" s="19">
        <f t="shared" si="5"/>
        <v>1</v>
      </c>
      <c r="V18" s="17" t="str">
        <f>C6&amp;" &amp; "&amp;C9&amp;" &amp; "&amp;C13</f>
        <v>2 &amp; 1 &amp; 1</v>
      </c>
      <c r="W18" s="19">
        <f t="shared" si="1"/>
        <v>1</v>
      </c>
      <c r="X18" s="17" t="str">
        <f t="shared" ca="1" si="2"/>
        <v>Betclic</v>
      </c>
      <c r="Y18" s="17">
        <f t="shared" si="3"/>
        <v>1</v>
      </c>
    </row>
    <row r="19" spans="15:25" x14ac:dyDescent="0.2">
      <c r="O19" s="19">
        <f>D5*D10</f>
        <v>1</v>
      </c>
      <c r="P19" s="19">
        <f t="shared" ref="P19:U19" si="6">E5*E10</f>
        <v>1</v>
      </c>
      <c r="Q19" s="19">
        <f t="shared" si="6"/>
        <v>1</v>
      </c>
      <c r="R19" s="19">
        <f t="shared" si="6"/>
        <v>1</v>
      </c>
      <c r="S19" s="19">
        <f t="shared" si="6"/>
        <v>1</v>
      </c>
      <c r="T19" s="19">
        <f t="shared" si="6"/>
        <v>1</v>
      </c>
      <c r="U19" s="19">
        <f t="shared" si="6"/>
        <v>1</v>
      </c>
      <c r="V19" s="17" t="str">
        <f>C5&amp;" &amp; "&amp;C10</f>
        <v>1 &amp; 2</v>
      </c>
      <c r="W19" s="19">
        <f t="shared" si="1"/>
        <v>1</v>
      </c>
      <c r="X19" s="17" t="str">
        <f t="shared" ca="1" si="2"/>
        <v>Betclic</v>
      </c>
      <c r="Y19" s="17">
        <f t="shared" si="3"/>
        <v>1</v>
      </c>
    </row>
    <row r="20" spans="15:25" x14ac:dyDescent="0.2">
      <c r="O20" s="19">
        <f>D5*D14</f>
        <v>1</v>
      </c>
      <c r="P20" s="19">
        <f t="shared" ref="P20:U20" si="7">E5*E14</f>
        <v>1</v>
      </c>
      <c r="Q20" s="19">
        <f t="shared" si="7"/>
        <v>1</v>
      </c>
      <c r="R20" s="19">
        <f t="shared" si="7"/>
        <v>1</v>
      </c>
      <c r="S20" s="19">
        <f t="shared" si="7"/>
        <v>1</v>
      </c>
      <c r="T20" s="19">
        <f t="shared" si="7"/>
        <v>1</v>
      </c>
      <c r="U20" s="19">
        <f t="shared" si="7"/>
        <v>1</v>
      </c>
      <c r="V20" s="17" t="str">
        <f>C5&amp;" &amp; "&amp;C14</f>
        <v>1 &amp; 2</v>
      </c>
      <c r="W20" s="19">
        <f t="shared" si="1"/>
        <v>1</v>
      </c>
      <c r="X20" s="17" t="str">
        <f t="shared" ca="1" si="2"/>
        <v>Betclic</v>
      </c>
      <c r="Y20" s="17">
        <f t="shared" si="3"/>
        <v>1</v>
      </c>
    </row>
    <row r="21" spans="15:25" x14ac:dyDescent="0.2">
      <c r="O21" s="19">
        <f>D6*D9</f>
        <v>1</v>
      </c>
      <c r="P21" s="19">
        <f t="shared" ref="P21:U21" si="8">E6*E9</f>
        <v>1</v>
      </c>
      <c r="Q21" s="19">
        <f t="shared" si="8"/>
        <v>1</v>
      </c>
      <c r="R21" s="19">
        <f t="shared" si="8"/>
        <v>1</v>
      </c>
      <c r="S21" s="19">
        <f t="shared" si="8"/>
        <v>1</v>
      </c>
      <c r="T21" s="19">
        <f t="shared" si="8"/>
        <v>1</v>
      </c>
      <c r="U21" s="19">
        <f t="shared" si="8"/>
        <v>1</v>
      </c>
      <c r="V21" s="17" t="str">
        <f>C6&amp;" &amp; "&amp;C9</f>
        <v>2 &amp; 1</v>
      </c>
      <c r="W21" s="19">
        <f t="shared" si="1"/>
        <v>1</v>
      </c>
      <c r="X21" s="17" t="str">
        <f t="shared" ca="1" si="2"/>
        <v>Betclic</v>
      </c>
      <c r="Y21" s="17">
        <f t="shared" si="3"/>
        <v>1</v>
      </c>
    </row>
    <row r="22" spans="15:25" x14ac:dyDescent="0.2">
      <c r="O22" s="19">
        <f>D6*D13</f>
        <v>1</v>
      </c>
      <c r="P22" s="19">
        <f t="shared" ref="P22:U22" si="9">E6*E13</f>
        <v>1</v>
      </c>
      <c r="Q22" s="19">
        <f t="shared" si="9"/>
        <v>1</v>
      </c>
      <c r="R22" s="19">
        <f t="shared" si="9"/>
        <v>1</v>
      </c>
      <c r="S22" s="19">
        <f t="shared" si="9"/>
        <v>1</v>
      </c>
      <c r="T22" s="19">
        <f t="shared" si="9"/>
        <v>1</v>
      </c>
      <c r="U22" s="19">
        <f t="shared" si="9"/>
        <v>1</v>
      </c>
      <c r="V22" s="17" t="str">
        <f>C6&amp;" &amp; "&amp;C13</f>
        <v>2 &amp; 1</v>
      </c>
      <c r="W22" s="19">
        <f t="shared" si="1"/>
        <v>1</v>
      </c>
      <c r="X22" s="17" t="str">
        <f t="shared" ca="1" si="2"/>
        <v>Betclic</v>
      </c>
      <c r="Y22" s="17">
        <f t="shared" si="3"/>
        <v>1</v>
      </c>
    </row>
    <row r="23" spans="15:25" x14ac:dyDescent="0.2">
      <c r="O23" s="19">
        <f>D9*D14</f>
        <v>1</v>
      </c>
      <c r="P23" s="19">
        <f t="shared" ref="P23:U23" si="10">E9*E14</f>
        <v>1</v>
      </c>
      <c r="Q23" s="19">
        <f t="shared" si="10"/>
        <v>1</v>
      </c>
      <c r="R23" s="19">
        <f t="shared" si="10"/>
        <v>1</v>
      </c>
      <c r="S23" s="19">
        <f t="shared" si="10"/>
        <v>1</v>
      </c>
      <c r="T23" s="19">
        <f t="shared" si="10"/>
        <v>1</v>
      </c>
      <c r="U23" s="19">
        <f t="shared" si="10"/>
        <v>1</v>
      </c>
      <c r="V23" s="17" t="str">
        <f>C9&amp;" &amp; "&amp;C14</f>
        <v>1 &amp; 2</v>
      </c>
      <c r="W23" s="19">
        <f t="shared" si="1"/>
        <v>1</v>
      </c>
      <c r="X23" s="17" t="str">
        <f t="shared" ca="1" si="2"/>
        <v>Betclic</v>
      </c>
      <c r="Y23" s="17">
        <f t="shared" si="3"/>
        <v>1</v>
      </c>
    </row>
    <row r="24" spans="15:25" x14ac:dyDescent="0.2">
      <c r="O24" s="19">
        <f>D10*D13</f>
        <v>1</v>
      </c>
      <c r="P24" s="19">
        <f t="shared" ref="P24:U24" si="11">E10*E13</f>
        <v>1</v>
      </c>
      <c r="Q24" s="19">
        <f t="shared" si="11"/>
        <v>1</v>
      </c>
      <c r="R24" s="19">
        <f t="shared" si="11"/>
        <v>1</v>
      </c>
      <c r="S24" s="19">
        <f t="shared" si="11"/>
        <v>1</v>
      </c>
      <c r="T24" s="19">
        <f t="shared" si="11"/>
        <v>1</v>
      </c>
      <c r="U24" s="19">
        <f t="shared" si="11"/>
        <v>1</v>
      </c>
      <c r="V24" s="17" t="str">
        <f>C10&amp;" &amp; "&amp;C13</f>
        <v>2 &amp; 1</v>
      </c>
      <c r="W24" s="19">
        <f t="shared" si="1"/>
        <v>1</v>
      </c>
      <c r="X24" s="17" t="str">
        <f t="shared" ca="1" si="2"/>
        <v>Betclic</v>
      </c>
      <c r="Y24" s="17">
        <f t="shared" si="3"/>
        <v>1</v>
      </c>
    </row>
    <row r="25" spans="15:25" x14ac:dyDescent="0.2">
      <c r="O25" s="53"/>
      <c r="P25" s="53"/>
      <c r="Q25" s="53"/>
      <c r="R25" s="53"/>
    </row>
    <row r="26" spans="15:25" x14ac:dyDescent="0.2">
      <c r="O26" s="53"/>
      <c r="P26" s="53"/>
      <c r="Q26" s="53"/>
      <c r="R26" s="53"/>
    </row>
    <row r="27" spans="15:25" x14ac:dyDescent="0.2">
      <c r="O27" s="53"/>
      <c r="P27" s="53"/>
      <c r="Q27" s="53"/>
      <c r="R27" s="53"/>
    </row>
    <row r="28" spans="15:25" x14ac:dyDescent="0.2">
      <c r="O28" s="53"/>
      <c r="P28" s="53"/>
      <c r="Q28" s="53"/>
      <c r="R28" s="53"/>
    </row>
    <row r="29" spans="15:25" x14ac:dyDescent="0.2">
      <c r="O29" s="53"/>
      <c r="P29" s="53"/>
      <c r="Q29" s="53"/>
      <c r="R29" s="53"/>
    </row>
    <row r="30" spans="15:25" x14ac:dyDescent="0.2">
      <c r="O30" s="53"/>
      <c r="P30" s="53"/>
      <c r="Q30" s="53"/>
      <c r="R30" s="53"/>
    </row>
    <row r="31" spans="15:25" x14ac:dyDescent="0.2">
      <c r="O31" s="53"/>
      <c r="P31" s="53"/>
      <c r="Q31" s="53"/>
      <c r="R31" s="53"/>
    </row>
    <row r="32" spans="15:25" x14ac:dyDescent="0.2">
      <c r="O32" s="53"/>
      <c r="P32" s="53"/>
      <c r="Q32" s="53"/>
      <c r="R32" s="53"/>
    </row>
    <row r="33" spans="15:18" x14ac:dyDescent="0.2">
      <c r="O33" s="53"/>
      <c r="P33" s="53"/>
      <c r="Q33" s="53"/>
      <c r="R33" s="53"/>
    </row>
    <row r="34" spans="15:18" x14ac:dyDescent="0.2">
      <c r="O34" s="53"/>
      <c r="P34" s="53"/>
      <c r="Q34" s="53"/>
      <c r="R34" s="53"/>
    </row>
    <row r="35" spans="15:18" x14ac:dyDescent="0.2">
      <c r="O35" s="53"/>
      <c r="P35" s="53"/>
      <c r="Q35" s="53"/>
      <c r="R35" s="53"/>
    </row>
    <row r="36" spans="15:18" x14ac:dyDescent="0.2">
      <c r="O36" s="53"/>
      <c r="P36" s="53"/>
      <c r="Q36" s="53"/>
      <c r="R36" s="53"/>
    </row>
    <row r="37" spans="15:18" x14ac:dyDescent="0.2">
      <c r="O37" s="53"/>
      <c r="P37" s="53"/>
      <c r="Q37" s="53"/>
      <c r="R37" s="53"/>
    </row>
    <row r="38" spans="15:18" x14ac:dyDescent="0.2">
      <c r="O38" s="53"/>
      <c r="P38" s="53"/>
      <c r="Q38" s="53"/>
      <c r="R38" s="53"/>
    </row>
    <row r="39" spans="15:18" x14ac:dyDescent="0.2">
      <c r="O39" s="53"/>
      <c r="P39" s="53"/>
      <c r="Q39" s="53"/>
      <c r="R39" s="53"/>
    </row>
    <row r="40" spans="15:18" x14ac:dyDescent="0.2">
      <c r="O40" s="53"/>
      <c r="P40" s="53"/>
      <c r="Q40" s="53"/>
      <c r="R40" s="53"/>
    </row>
    <row r="41" spans="15:18" x14ac:dyDescent="0.2">
      <c r="O41" s="53"/>
      <c r="P41" s="53"/>
      <c r="Q41" s="53"/>
      <c r="R41" s="53"/>
    </row>
    <row r="42" spans="15:18" x14ac:dyDescent="0.2">
      <c r="O42" s="53"/>
      <c r="P42" s="53"/>
      <c r="Q42" s="53"/>
      <c r="R42" s="53"/>
    </row>
    <row r="43" spans="15:18" x14ac:dyDescent="0.2">
      <c r="O43" s="53"/>
      <c r="P43" s="53"/>
      <c r="Q43" s="53"/>
      <c r="R43" s="53"/>
    </row>
    <row r="44" spans="15:18" x14ac:dyDescent="0.2">
      <c r="O44" s="53"/>
      <c r="P44" s="53"/>
      <c r="Q44" s="53"/>
      <c r="R44" s="53"/>
    </row>
    <row r="45" spans="15:18" x14ac:dyDescent="0.2">
      <c r="O45" s="53"/>
      <c r="P45" s="53"/>
      <c r="Q45" s="53"/>
      <c r="R45" s="53"/>
    </row>
    <row r="46" spans="15:18" x14ac:dyDescent="0.2">
      <c r="O46" s="53"/>
      <c r="P46" s="53"/>
      <c r="Q46" s="53"/>
      <c r="R46" s="53"/>
    </row>
    <row r="47" spans="15:18" x14ac:dyDescent="0.2">
      <c r="O47" s="53"/>
      <c r="P47" s="53"/>
      <c r="Q47" s="53"/>
      <c r="R47" s="53"/>
    </row>
    <row r="48" spans="15:18" x14ac:dyDescent="0.2">
      <c r="O48" s="53"/>
      <c r="P48" s="53"/>
      <c r="Q48" s="53"/>
      <c r="R48" s="53"/>
    </row>
    <row r="49" spans="15:18" x14ac:dyDescent="0.2">
      <c r="O49" s="53"/>
      <c r="P49" s="53"/>
      <c r="Q49" s="53"/>
      <c r="R49" s="53"/>
    </row>
    <row r="50" spans="15:18" x14ac:dyDescent="0.2">
      <c r="O50" s="53"/>
      <c r="P50" s="53"/>
      <c r="Q50" s="53"/>
      <c r="R50" s="53"/>
    </row>
    <row r="51" spans="15:18" x14ac:dyDescent="0.2">
      <c r="O51" s="53"/>
      <c r="P51" s="53"/>
      <c r="Q51" s="53"/>
      <c r="R51" s="53"/>
    </row>
    <row r="52" spans="15:18" x14ac:dyDescent="0.2">
      <c r="O52" s="53"/>
      <c r="P52" s="53"/>
      <c r="Q52" s="53"/>
      <c r="R52" s="53"/>
    </row>
    <row r="53" spans="15:18" x14ac:dyDescent="0.2">
      <c r="O53" s="53"/>
      <c r="P53" s="53"/>
      <c r="Q53" s="53"/>
      <c r="R53" s="53"/>
    </row>
    <row r="54" spans="15:18" x14ac:dyDescent="0.2">
      <c r="O54" s="53"/>
      <c r="P54" s="53"/>
      <c r="Q54" s="53"/>
      <c r="R54" s="53"/>
    </row>
    <row r="55" spans="15:18" x14ac:dyDescent="0.2">
      <c r="O55" s="53"/>
      <c r="P55" s="53"/>
      <c r="Q55" s="53"/>
      <c r="R55" s="53"/>
    </row>
    <row r="56" spans="15:18" x14ac:dyDescent="0.2">
      <c r="O56" s="53"/>
      <c r="P56" s="53"/>
      <c r="Q56" s="53"/>
      <c r="R56" s="53"/>
    </row>
  </sheetData>
  <conditionalFormatting sqref="C2:C3">
    <cfRule type="containsBlanks" dxfId="3" priority="104">
      <formula>LEN(TRIM(C2))=0</formula>
    </cfRule>
  </conditionalFormatting>
  <conditionalFormatting sqref="D5:J6">
    <cfRule type="cellIs" dxfId="2" priority="67" operator="equal">
      <formula>1</formula>
    </cfRule>
  </conditionalFormatting>
  <conditionalFormatting sqref="D9:J10">
    <cfRule type="cellIs" dxfId="1" priority="2" operator="equal">
      <formula>1</formula>
    </cfRule>
  </conditionalFormatting>
  <conditionalFormatting sqref="D13:J14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Accueil</vt:lpstr>
      <vt:lpstr>Transaction</vt:lpstr>
      <vt:lpstr>Suivi</vt:lpstr>
      <vt:lpstr>Répartiteur</vt:lpstr>
      <vt:lpstr>Meilleur 1N2 à 2 Matchs</vt:lpstr>
      <vt:lpstr>Foot à 2 Matchs</vt:lpstr>
      <vt:lpstr>Meilleur 1N2 à 3 Matchs</vt:lpstr>
      <vt:lpstr>Foot à 3 matchs</vt:lpstr>
      <vt:lpstr>Basket à 2 Matchs</vt:lpstr>
      <vt:lpstr>Meilleur 1-2 à 3 matchs</vt:lpstr>
      <vt:lpstr>Basket à 3 Matchs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Simon Bourlier</dc:creator>
  <cp:lastModifiedBy>Simon Bourlier</cp:lastModifiedBy>
  <cp:lastPrinted>2021-03-13T15:24:43Z</cp:lastPrinted>
  <dcterms:created xsi:type="dcterms:W3CDTF">2021-03-03T13:24:00Z</dcterms:created>
  <dcterms:modified xsi:type="dcterms:W3CDTF">2021-04-29T18:10:46Z</dcterms:modified>
</cp:coreProperties>
</file>